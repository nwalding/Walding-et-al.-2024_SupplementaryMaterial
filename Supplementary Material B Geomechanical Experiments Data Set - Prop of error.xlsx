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kelpiegeo-my.sharepoint.com/personal/nwalding_kelpiegeoscience_com/Documents/Desktop/PhD/"/>
    </mc:Choice>
  </mc:AlternateContent>
  <xr:revisionPtr revIDLastSave="847" documentId="13_ncr:1_{9FF0C86C-45E7-4B83-AEC4-A589E0CB12ED}" xr6:coauthVersionLast="47" xr6:coauthVersionMax="47" xr10:uidLastSave="{791E30C7-BB00-47B9-BB6E-4B4775814B6D}"/>
  <bookViews>
    <workbookView xWindow="-110" yWindow="-110" windowWidth="25180" windowHeight="16140" firstSheet="3" activeTab="5" xr2:uid="{B7C07B58-28A7-47E5-AC99-F1F003A519E7}"/>
  </bookViews>
  <sheets>
    <sheet name="Geomechanical Experiments" sheetId="1" r:id="rId1"/>
    <sheet name="Uncertainty PSD" sheetId="2" r:id="rId2"/>
    <sheet name="Uncertainty AoR" sheetId="6" r:id="rId3"/>
    <sheet name="Uncertainty - Water addition" sheetId="3" r:id="rId4"/>
    <sheet name="Uncertainty BTD" sheetId="12" r:id="rId5"/>
    <sheet name="Uncertainty - Fluidisation"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00" i="6" l="1"/>
  <c r="AE99" i="6"/>
  <c r="AE98" i="6"/>
  <c r="AE97" i="6"/>
  <c r="AE94" i="6"/>
  <c r="AE93" i="6"/>
  <c r="AE92" i="6"/>
  <c r="AE91" i="6"/>
  <c r="AE88" i="6"/>
  <c r="AE87" i="6"/>
  <c r="AE86" i="6"/>
  <c r="AE85" i="6"/>
  <c r="AE82" i="6"/>
  <c r="AE81" i="6"/>
  <c r="AE80" i="6"/>
  <c r="AE79" i="6"/>
  <c r="AE76" i="6"/>
  <c r="AE75" i="6"/>
  <c r="AE74" i="6"/>
  <c r="AE73" i="6"/>
  <c r="AE64" i="6"/>
  <c r="AE63" i="6"/>
  <c r="AE62" i="6"/>
  <c r="AE61" i="6"/>
  <c r="AE58" i="6"/>
  <c r="AE57" i="6"/>
  <c r="AE56" i="6"/>
  <c r="AE55" i="6"/>
  <c r="AE46" i="6"/>
  <c r="AE45" i="6"/>
  <c r="AE44" i="6"/>
  <c r="AE43" i="6"/>
  <c r="AE40" i="6"/>
  <c r="AE39" i="6"/>
  <c r="AE38" i="6"/>
  <c r="AE37" i="6"/>
  <c r="AE34" i="6"/>
  <c r="AE33" i="6"/>
  <c r="AE32" i="6"/>
  <c r="AE31" i="6"/>
  <c r="AE16" i="6"/>
  <c r="AE15" i="6"/>
  <c r="AE14" i="6"/>
  <c r="AE13" i="6"/>
  <c r="AA13" i="6" l="1"/>
  <c r="AB13" i="6"/>
  <c r="AC13" i="6" s="1"/>
  <c r="AD13" i="6" s="1"/>
  <c r="AA14" i="6"/>
  <c r="AB14" i="6"/>
  <c r="AC14" i="6"/>
  <c r="AD14" i="6"/>
  <c r="AA15" i="6"/>
  <c r="AC15" i="6" s="1"/>
  <c r="AD15" i="6" s="1"/>
  <c r="AB15" i="6"/>
  <c r="AA16" i="6"/>
  <c r="AC16" i="6" s="1"/>
  <c r="AD16" i="6" s="1"/>
  <c r="AB16" i="6"/>
  <c r="AA31" i="6"/>
  <c r="AB31" i="6"/>
  <c r="AC31" i="6"/>
  <c r="AD31" i="6"/>
  <c r="AA32" i="6"/>
  <c r="AB32" i="6"/>
  <c r="AC32" i="6"/>
  <c r="AD32" i="6"/>
  <c r="AA33" i="6"/>
  <c r="AB33" i="6"/>
  <c r="AC33" i="6"/>
  <c r="AD33" i="6"/>
  <c r="AA34" i="6"/>
  <c r="AB34" i="6"/>
  <c r="AC34" i="6"/>
  <c r="AD34" i="6"/>
  <c r="AA37" i="6"/>
  <c r="AC37" i="6" s="1"/>
  <c r="AD37" i="6" s="1"/>
  <c r="AB37" i="6"/>
  <c r="AA38" i="6"/>
  <c r="AB38" i="6"/>
  <c r="AC38" i="6"/>
  <c r="AD38" i="6"/>
  <c r="AA39" i="6"/>
  <c r="AB39" i="6"/>
  <c r="AC39" i="6"/>
  <c r="AD39" i="6"/>
  <c r="AA40" i="6"/>
  <c r="AB40" i="6"/>
  <c r="AC40" i="6"/>
  <c r="AD40" i="6"/>
  <c r="AA43" i="6"/>
  <c r="AB43" i="6"/>
  <c r="AC43" i="6"/>
  <c r="AD43" i="6" s="1"/>
  <c r="AA44" i="6"/>
  <c r="AB44" i="6"/>
  <c r="AC44" i="6"/>
  <c r="AD44" i="6"/>
  <c r="AA45" i="6"/>
  <c r="AB45" i="6"/>
  <c r="AC45" i="6"/>
  <c r="AD45" i="6"/>
  <c r="AA46" i="6"/>
  <c r="AB46" i="6"/>
  <c r="AC46" i="6" s="1"/>
  <c r="AD46" i="6" s="1"/>
  <c r="AA55" i="6"/>
  <c r="AB55" i="6"/>
  <c r="AC55" i="6"/>
  <c r="AD55" i="6"/>
  <c r="AA56" i="6"/>
  <c r="AC56" i="6" s="1"/>
  <c r="AD56" i="6" s="1"/>
  <c r="AB56" i="6"/>
  <c r="AA57" i="6"/>
  <c r="AB57" i="6"/>
  <c r="AA58" i="6"/>
  <c r="AB58" i="6"/>
  <c r="AC58" i="6"/>
  <c r="AD58" i="6"/>
  <c r="AA61" i="6"/>
  <c r="AB61" i="6"/>
  <c r="AC61" i="6"/>
  <c r="AD61" i="6"/>
  <c r="AA62" i="6"/>
  <c r="AB62" i="6"/>
  <c r="AC62" i="6"/>
  <c r="AD62" i="6"/>
  <c r="AA63" i="6"/>
  <c r="AC63" i="6" s="1"/>
  <c r="AD63" i="6" s="1"/>
  <c r="AB63" i="6"/>
  <c r="AA64" i="6"/>
  <c r="AC64" i="6" s="1"/>
  <c r="AD64" i="6" s="1"/>
  <c r="AB64" i="6"/>
  <c r="AA73" i="6"/>
  <c r="AB73" i="6"/>
  <c r="AC73" i="6"/>
  <c r="AD73" i="6"/>
  <c r="AA74" i="6"/>
  <c r="AB74" i="6"/>
  <c r="AC74" i="6"/>
  <c r="AD74" i="6"/>
  <c r="AA75" i="6"/>
  <c r="AB75" i="6"/>
  <c r="AC75" i="6"/>
  <c r="AD75" i="6"/>
  <c r="AA76" i="6"/>
  <c r="AB76" i="6"/>
  <c r="AC76" i="6"/>
  <c r="AD76" i="6"/>
  <c r="AA79" i="6"/>
  <c r="AB79" i="6"/>
  <c r="AC79" i="6" s="1"/>
  <c r="AD79" i="6" s="1"/>
  <c r="AA80" i="6"/>
  <c r="AB80" i="6"/>
  <c r="AC80" i="6"/>
  <c r="AD80" i="6"/>
  <c r="AA81" i="6"/>
  <c r="AB81" i="6"/>
  <c r="AC81" i="6"/>
  <c r="AD81" i="6"/>
  <c r="AA82" i="6"/>
  <c r="AB82" i="6"/>
  <c r="AC82" i="6"/>
  <c r="AD82" i="6"/>
  <c r="AA85" i="6"/>
  <c r="AB85" i="6"/>
  <c r="AC85" i="6"/>
  <c r="AD85" i="6" s="1"/>
  <c r="AA86" i="6"/>
  <c r="AB86" i="6"/>
  <c r="AC86" i="6"/>
  <c r="AD86" i="6"/>
  <c r="AA87" i="6"/>
  <c r="AB87" i="6"/>
  <c r="AC87" i="6"/>
  <c r="AD87" i="6"/>
  <c r="AA88" i="6"/>
  <c r="AB88" i="6"/>
  <c r="AC88" i="6" s="1"/>
  <c r="AD88" i="6" s="1"/>
  <c r="AA91" i="6"/>
  <c r="AB91" i="6"/>
  <c r="AC91" i="6"/>
  <c r="AD91" i="6"/>
  <c r="AA92" i="6"/>
  <c r="AB92" i="6"/>
  <c r="AC92" i="6"/>
  <c r="AD92" i="6" s="1"/>
  <c r="AA93" i="6"/>
  <c r="AB93" i="6"/>
  <c r="AC93" i="6"/>
  <c r="AD93" i="6"/>
  <c r="AA94" i="6"/>
  <c r="AB94" i="6"/>
  <c r="AC94" i="6"/>
  <c r="AD94" i="6"/>
  <c r="AA97" i="6"/>
  <c r="AB97" i="6"/>
  <c r="AC97" i="6"/>
  <c r="AD97" i="6"/>
  <c r="AA98" i="6"/>
  <c r="AC98" i="6" s="1"/>
  <c r="AD98" i="6" s="1"/>
  <c r="AB98" i="6"/>
  <c r="AA99" i="6"/>
  <c r="AC99" i="6" s="1"/>
  <c r="AD99" i="6" s="1"/>
  <c r="AB99" i="6"/>
  <c r="AA100" i="6"/>
  <c r="AB100" i="6"/>
  <c r="AC100" i="6"/>
  <c r="AD100" i="6"/>
  <c r="U8" i="6"/>
  <c r="V8" i="6" s="1"/>
  <c r="U9" i="6"/>
  <c r="V9" i="6"/>
  <c r="U10" i="6"/>
  <c r="V10" i="6"/>
  <c r="U11" i="6"/>
  <c r="V11" i="6"/>
  <c r="U13" i="6"/>
  <c r="V13" i="6"/>
  <c r="U14" i="6"/>
  <c r="V14" i="6"/>
  <c r="U15" i="6"/>
  <c r="V15" i="6"/>
  <c r="U16" i="6"/>
  <c r="V16" i="6"/>
  <c r="U17" i="6"/>
  <c r="V17" i="6"/>
  <c r="U19" i="6"/>
  <c r="V19" i="6" s="1"/>
  <c r="U20" i="6"/>
  <c r="V20" i="6"/>
  <c r="U21" i="6"/>
  <c r="V21" i="6"/>
  <c r="U22" i="6"/>
  <c r="V22" i="6"/>
  <c r="U23" i="6"/>
  <c r="V23" i="6" s="1"/>
  <c r="U25" i="6"/>
  <c r="V25" i="6"/>
  <c r="U26" i="6"/>
  <c r="V26" i="6"/>
  <c r="U27" i="6"/>
  <c r="V27" i="6"/>
  <c r="U28" i="6"/>
  <c r="V28" i="6"/>
  <c r="U29" i="6"/>
  <c r="V29" i="6"/>
  <c r="U31" i="6"/>
  <c r="V31" i="6"/>
  <c r="U32" i="6"/>
  <c r="V32" i="6"/>
  <c r="U33" i="6"/>
  <c r="V33" i="6"/>
  <c r="U34" i="6"/>
  <c r="V34" i="6" s="1"/>
  <c r="U35" i="6"/>
  <c r="V35" i="6"/>
  <c r="U37" i="6"/>
  <c r="V37" i="6"/>
  <c r="U38" i="6"/>
  <c r="V38" i="6"/>
  <c r="U39" i="6"/>
  <c r="V39" i="6"/>
  <c r="U40" i="6"/>
  <c r="V40" i="6"/>
  <c r="U41" i="6"/>
  <c r="V41" i="6" s="1"/>
  <c r="U43" i="6"/>
  <c r="V43" i="6"/>
  <c r="U44" i="6"/>
  <c r="V44" i="6"/>
  <c r="U45" i="6"/>
  <c r="V45" i="6" s="1"/>
  <c r="U46" i="6"/>
  <c r="V46" i="6"/>
  <c r="U47" i="6"/>
  <c r="V47" i="6"/>
  <c r="U49" i="6"/>
  <c r="V49" i="6"/>
  <c r="U50" i="6"/>
  <c r="V50" i="6"/>
  <c r="U51" i="6"/>
  <c r="V51" i="6"/>
  <c r="U52" i="6"/>
  <c r="V52" i="6" s="1"/>
  <c r="U53" i="6"/>
  <c r="V53" i="6"/>
  <c r="U55" i="6"/>
  <c r="V55" i="6"/>
  <c r="U56" i="6"/>
  <c r="V56" i="6" s="1"/>
  <c r="U57" i="6"/>
  <c r="V57" i="6"/>
  <c r="U58" i="6"/>
  <c r="V58" i="6"/>
  <c r="U59" i="6"/>
  <c r="V59" i="6"/>
  <c r="U61" i="6"/>
  <c r="V61" i="6"/>
  <c r="U62" i="6"/>
  <c r="V62" i="6"/>
  <c r="U63" i="6"/>
  <c r="V63" i="6" s="1"/>
  <c r="U64" i="6"/>
  <c r="V64" i="6"/>
  <c r="U65" i="6"/>
  <c r="V65" i="6"/>
  <c r="U67" i="6"/>
  <c r="V67" i="6" s="1"/>
  <c r="U68" i="6"/>
  <c r="V68" i="6"/>
  <c r="U69" i="6"/>
  <c r="V69" i="6"/>
  <c r="U70" i="6"/>
  <c r="V70" i="6"/>
  <c r="U71" i="6"/>
  <c r="V71" i="6"/>
  <c r="U73" i="6"/>
  <c r="V73" i="6"/>
  <c r="U74" i="6"/>
  <c r="V74" i="6" s="1"/>
  <c r="U75" i="6"/>
  <c r="V75" i="6"/>
  <c r="U76" i="6"/>
  <c r="V76" i="6"/>
  <c r="U77" i="6"/>
  <c r="V77" i="6"/>
  <c r="U79" i="6"/>
  <c r="V79" i="6"/>
  <c r="U80" i="6"/>
  <c r="V80" i="6"/>
  <c r="U81" i="6"/>
  <c r="V81" i="6"/>
  <c r="U82" i="6"/>
  <c r="V82" i="6" s="1"/>
  <c r="U83" i="6"/>
  <c r="V83" i="6"/>
  <c r="U85" i="6"/>
  <c r="V85" i="6" s="1"/>
  <c r="U86" i="6"/>
  <c r="V86" i="6"/>
  <c r="U87" i="6"/>
  <c r="V87" i="6"/>
  <c r="U88" i="6"/>
  <c r="V88" i="6"/>
  <c r="U89" i="6"/>
  <c r="V89" i="6" s="1"/>
  <c r="U91" i="6"/>
  <c r="V91" i="6"/>
  <c r="U92" i="6"/>
  <c r="V92" i="6"/>
  <c r="U93" i="6"/>
  <c r="V93" i="6"/>
  <c r="U94" i="6"/>
  <c r="V94" i="6"/>
  <c r="U95" i="6"/>
  <c r="V95" i="6"/>
  <c r="U97" i="6"/>
  <c r="V97" i="6"/>
  <c r="U98" i="6"/>
  <c r="V98" i="6"/>
  <c r="U99" i="6"/>
  <c r="V99" i="6"/>
  <c r="U100" i="6"/>
  <c r="V100" i="6" s="1"/>
  <c r="U101" i="6"/>
  <c r="V101" i="6"/>
  <c r="V7" i="6"/>
  <c r="U7" i="6"/>
  <c r="T8" i="6"/>
  <c r="T9" i="6"/>
  <c r="T10" i="6"/>
  <c r="T11" i="6"/>
  <c r="T13" i="6"/>
  <c r="T14" i="6"/>
  <c r="T15" i="6"/>
  <c r="T16" i="6"/>
  <c r="T17" i="6"/>
  <c r="T19" i="6"/>
  <c r="T20" i="6"/>
  <c r="T21" i="6"/>
  <c r="T22" i="6"/>
  <c r="T23" i="6"/>
  <c r="T25" i="6"/>
  <c r="T26" i="6"/>
  <c r="T27" i="6"/>
  <c r="T28" i="6"/>
  <c r="T29" i="6"/>
  <c r="T31" i="6"/>
  <c r="T32" i="6"/>
  <c r="T33" i="6"/>
  <c r="T34" i="6"/>
  <c r="T35" i="6"/>
  <c r="T37" i="6"/>
  <c r="T38" i="6"/>
  <c r="T39" i="6"/>
  <c r="T40" i="6"/>
  <c r="T41" i="6"/>
  <c r="T43" i="6"/>
  <c r="T44" i="6"/>
  <c r="T45" i="6"/>
  <c r="T46" i="6"/>
  <c r="T47" i="6"/>
  <c r="T49" i="6"/>
  <c r="T50" i="6"/>
  <c r="T51" i="6"/>
  <c r="T52" i="6"/>
  <c r="T53" i="6"/>
  <c r="T55" i="6"/>
  <c r="T56" i="6"/>
  <c r="T57" i="6"/>
  <c r="T58" i="6"/>
  <c r="T59" i="6"/>
  <c r="T61" i="6"/>
  <c r="T62" i="6"/>
  <c r="T63" i="6"/>
  <c r="T64" i="6"/>
  <c r="T65" i="6"/>
  <c r="T67" i="6"/>
  <c r="T68" i="6"/>
  <c r="T69" i="6"/>
  <c r="T70" i="6"/>
  <c r="T71" i="6"/>
  <c r="T73" i="6"/>
  <c r="T74" i="6"/>
  <c r="T75" i="6"/>
  <c r="T76" i="6"/>
  <c r="T77" i="6"/>
  <c r="T79" i="6"/>
  <c r="T80" i="6"/>
  <c r="T81" i="6"/>
  <c r="T82" i="6"/>
  <c r="T83" i="6"/>
  <c r="T85" i="6"/>
  <c r="T86" i="6"/>
  <c r="T87" i="6"/>
  <c r="T88" i="6"/>
  <c r="T89" i="6"/>
  <c r="T91" i="6"/>
  <c r="T92" i="6"/>
  <c r="T93" i="6"/>
  <c r="T94" i="6"/>
  <c r="T95" i="6"/>
  <c r="T97" i="6"/>
  <c r="T98" i="6"/>
  <c r="T99" i="6"/>
  <c r="T100" i="6"/>
  <c r="T101" i="6"/>
  <c r="T7" i="6"/>
  <c r="Q8" i="6"/>
  <c r="R8" i="6"/>
  <c r="Q9" i="6"/>
  <c r="R9" i="6"/>
  <c r="Q10" i="6"/>
  <c r="R10" i="6"/>
  <c r="Q11" i="6"/>
  <c r="R11" i="6"/>
  <c r="Q13" i="6"/>
  <c r="R13" i="6"/>
  <c r="Q14" i="6"/>
  <c r="R14" i="6"/>
  <c r="Q15" i="6"/>
  <c r="R15" i="6"/>
  <c r="Q16" i="6"/>
  <c r="R16" i="6"/>
  <c r="Q17" i="6"/>
  <c r="R17" i="6"/>
  <c r="Q19" i="6"/>
  <c r="R19" i="6"/>
  <c r="Q20" i="6"/>
  <c r="R20" i="6"/>
  <c r="Q21" i="6"/>
  <c r="R21" i="6"/>
  <c r="Q22" i="6"/>
  <c r="R22" i="6"/>
  <c r="Q23" i="6"/>
  <c r="R23" i="6"/>
  <c r="Q25" i="6"/>
  <c r="R25" i="6"/>
  <c r="Q26" i="6"/>
  <c r="R26" i="6"/>
  <c r="Q27" i="6"/>
  <c r="R27" i="6"/>
  <c r="Q28" i="6"/>
  <c r="R28" i="6"/>
  <c r="Q29" i="6"/>
  <c r="R29" i="6"/>
  <c r="Q31" i="6"/>
  <c r="R31" i="6"/>
  <c r="Q32" i="6"/>
  <c r="R32" i="6"/>
  <c r="Q33" i="6"/>
  <c r="R33" i="6"/>
  <c r="Q34" i="6"/>
  <c r="R34" i="6"/>
  <c r="Q35" i="6"/>
  <c r="R35" i="6"/>
  <c r="Q37" i="6"/>
  <c r="R37" i="6"/>
  <c r="Q38" i="6"/>
  <c r="R38" i="6"/>
  <c r="Q39" i="6"/>
  <c r="R39" i="6"/>
  <c r="Q40" i="6"/>
  <c r="R40" i="6"/>
  <c r="Q41" i="6"/>
  <c r="R41" i="6"/>
  <c r="Q43" i="6"/>
  <c r="R43" i="6"/>
  <c r="Q44" i="6"/>
  <c r="R44" i="6"/>
  <c r="Q45" i="6"/>
  <c r="R45" i="6"/>
  <c r="Q46" i="6"/>
  <c r="R46" i="6"/>
  <c r="Q47" i="6"/>
  <c r="R47" i="6"/>
  <c r="Q49" i="6"/>
  <c r="R49" i="6"/>
  <c r="Q50" i="6"/>
  <c r="R50" i="6"/>
  <c r="Q51" i="6"/>
  <c r="R51" i="6"/>
  <c r="Q52" i="6"/>
  <c r="R52" i="6"/>
  <c r="Q53" i="6"/>
  <c r="R53" i="6"/>
  <c r="Q55" i="6"/>
  <c r="R55" i="6"/>
  <c r="Q56" i="6"/>
  <c r="R56" i="6"/>
  <c r="Q57" i="6"/>
  <c r="R57" i="6"/>
  <c r="Q58" i="6"/>
  <c r="R58" i="6"/>
  <c r="Q59" i="6"/>
  <c r="R59" i="6"/>
  <c r="Q61" i="6"/>
  <c r="R61" i="6"/>
  <c r="Q62" i="6"/>
  <c r="R62" i="6"/>
  <c r="Q63" i="6"/>
  <c r="R63" i="6"/>
  <c r="Q64" i="6"/>
  <c r="R64" i="6"/>
  <c r="Q65" i="6"/>
  <c r="R65" i="6"/>
  <c r="Q67" i="6"/>
  <c r="R67" i="6"/>
  <c r="Q68" i="6"/>
  <c r="R68" i="6"/>
  <c r="Q69" i="6"/>
  <c r="R69" i="6"/>
  <c r="Q70" i="6"/>
  <c r="R70" i="6"/>
  <c r="Q71" i="6"/>
  <c r="R71" i="6"/>
  <c r="Q73" i="6"/>
  <c r="R73" i="6"/>
  <c r="Q74" i="6"/>
  <c r="R74" i="6"/>
  <c r="Q75" i="6"/>
  <c r="R75" i="6"/>
  <c r="Q76" i="6"/>
  <c r="R76" i="6"/>
  <c r="Q77" i="6"/>
  <c r="R77" i="6"/>
  <c r="Q79" i="6"/>
  <c r="R79" i="6"/>
  <c r="Q80" i="6"/>
  <c r="R80" i="6"/>
  <c r="Q81" i="6"/>
  <c r="R81" i="6"/>
  <c r="Q82" i="6"/>
  <c r="R82" i="6"/>
  <c r="Q83" i="6"/>
  <c r="R83" i="6"/>
  <c r="Q85" i="6"/>
  <c r="R85" i="6"/>
  <c r="Q86" i="6"/>
  <c r="R86" i="6"/>
  <c r="Q87" i="6"/>
  <c r="R87" i="6"/>
  <c r="Q88" i="6"/>
  <c r="R88" i="6"/>
  <c r="Q89" i="6"/>
  <c r="R89" i="6"/>
  <c r="Q91" i="6"/>
  <c r="R91" i="6"/>
  <c r="Q92" i="6"/>
  <c r="R92" i="6"/>
  <c r="Q93" i="6"/>
  <c r="R93" i="6"/>
  <c r="Q94" i="6"/>
  <c r="R94" i="6"/>
  <c r="Q95" i="6"/>
  <c r="R95" i="6"/>
  <c r="Q97" i="6"/>
  <c r="R97" i="6"/>
  <c r="Q98" i="6"/>
  <c r="R98" i="6"/>
  <c r="Q99" i="6"/>
  <c r="R99" i="6"/>
  <c r="Q100" i="6"/>
  <c r="R100" i="6"/>
  <c r="Q101" i="6"/>
  <c r="R101" i="6"/>
  <c r="R7" i="6"/>
  <c r="Q7" i="6"/>
  <c r="AC57" i="6" l="1"/>
  <c r="AD57" i="6" s="1"/>
  <c r="L7" i="7" l="1"/>
  <c r="L8" i="7"/>
  <c r="L9" i="7"/>
  <c r="L10" i="7"/>
  <c r="L12" i="7"/>
  <c r="L13" i="7"/>
  <c r="L14" i="7"/>
  <c r="L15" i="7"/>
  <c r="L16" i="7"/>
  <c r="L18" i="7"/>
  <c r="L19" i="7"/>
  <c r="L20" i="7"/>
  <c r="L21" i="7"/>
  <c r="L22" i="7"/>
  <c r="L24" i="7"/>
  <c r="L25" i="7"/>
  <c r="L26" i="7"/>
  <c r="L27" i="7"/>
  <c r="L28" i="7"/>
  <c r="L30" i="7"/>
  <c r="L31" i="7"/>
  <c r="L32" i="7"/>
  <c r="L33" i="7"/>
  <c r="L34" i="7"/>
  <c r="L36" i="7"/>
  <c r="L37" i="7"/>
  <c r="L38" i="7"/>
  <c r="L39" i="7"/>
  <c r="L40" i="7"/>
  <c r="L42" i="7"/>
  <c r="L43" i="7"/>
  <c r="L44" i="7"/>
  <c r="L45" i="7"/>
  <c r="L46" i="7"/>
  <c r="L48" i="7"/>
  <c r="L49" i="7"/>
  <c r="L50" i="7"/>
  <c r="L51" i="7"/>
  <c r="L52" i="7"/>
  <c r="L54" i="7"/>
  <c r="L55" i="7"/>
  <c r="L56" i="7"/>
  <c r="L57" i="7"/>
  <c r="L58" i="7"/>
  <c r="L60" i="7"/>
  <c r="L61" i="7"/>
  <c r="L62" i="7"/>
  <c r="L63" i="7"/>
  <c r="L64" i="7"/>
  <c r="L66" i="7"/>
  <c r="L67" i="7"/>
  <c r="L68" i="7"/>
  <c r="L69" i="7"/>
  <c r="L70" i="7"/>
  <c r="L72" i="7"/>
  <c r="L73" i="7"/>
  <c r="L74" i="7"/>
  <c r="L75" i="7"/>
  <c r="L76" i="7"/>
  <c r="L78" i="7"/>
  <c r="L79" i="7"/>
  <c r="L80" i="7"/>
  <c r="L81" i="7"/>
  <c r="L82" i="7"/>
  <c r="L84" i="7"/>
  <c r="L85" i="7"/>
  <c r="L86" i="7"/>
  <c r="L87" i="7"/>
  <c r="L88" i="7"/>
  <c r="L90" i="7"/>
  <c r="L91" i="7"/>
  <c r="L92" i="7"/>
  <c r="L93" i="7"/>
  <c r="L94" i="7"/>
  <c r="L96" i="7"/>
  <c r="L97" i="7"/>
  <c r="L98" i="7"/>
  <c r="L99" i="7"/>
  <c r="L100" i="7"/>
  <c r="L6" i="7"/>
  <c r="AB98" i="12"/>
  <c r="AB11" i="12"/>
  <c r="AB12" i="12"/>
  <c r="AB13" i="12"/>
  <c r="AB14" i="12"/>
  <c r="AB16" i="12"/>
  <c r="AB17" i="12"/>
  <c r="AB18" i="12"/>
  <c r="AB19" i="12"/>
  <c r="AB20" i="12"/>
  <c r="AB22" i="12"/>
  <c r="AB23" i="12"/>
  <c r="AB24" i="12"/>
  <c r="AB25" i="12"/>
  <c r="AB26" i="12"/>
  <c r="AB28" i="12"/>
  <c r="AB29" i="12"/>
  <c r="AB30" i="12"/>
  <c r="AB31" i="12"/>
  <c r="AB32" i="12"/>
  <c r="AB34" i="12"/>
  <c r="AB35" i="12"/>
  <c r="AB36" i="12"/>
  <c r="AB37" i="12"/>
  <c r="AB38" i="12"/>
  <c r="AB40" i="12"/>
  <c r="AB41" i="12"/>
  <c r="AB42" i="12"/>
  <c r="AB43" i="12"/>
  <c r="AB44" i="12"/>
  <c r="AB46" i="12"/>
  <c r="AB47" i="12"/>
  <c r="AB48" i="12"/>
  <c r="AB49" i="12"/>
  <c r="AB50" i="12"/>
  <c r="AB52" i="12"/>
  <c r="AB53" i="12"/>
  <c r="AB54" i="12"/>
  <c r="AB55" i="12"/>
  <c r="AB56" i="12"/>
  <c r="AB58" i="12"/>
  <c r="AB59" i="12"/>
  <c r="AB60" i="12"/>
  <c r="AB61" i="12"/>
  <c r="AB62" i="12"/>
  <c r="AB64" i="12"/>
  <c r="AB65" i="12"/>
  <c r="AB66" i="12"/>
  <c r="AB67" i="12"/>
  <c r="AB68" i="12"/>
  <c r="AB70" i="12"/>
  <c r="AB71" i="12"/>
  <c r="AB72" i="12"/>
  <c r="AB73" i="12"/>
  <c r="AB74" i="12"/>
  <c r="AB76" i="12"/>
  <c r="AB77" i="12"/>
  <c r="AB78" i="12"/>
  <c r="AB79" i="12"/>
  <c r="AB80" i="12"/>
  <c r="AB82" i="12"/>
  <c r="AB83" i="12"/>
  <c r="AB84" i="12"/>
  <c r="AB85" i="12"/>
  <c r="AB86" i="12"/>
  <c r="AB88" i="12"/>
  <c r="AB89" i="12"/>
  <c r="AB90" i="12"/>
  <c r="AB91" i="12"/>
  <c r="AB92" i="12"/>
  <c r="AB94" i="12"/>
  <c r="AB95" i="12"/>
  <c r="AB96" i="12"/>
  <c r="AB97" i="12"/>
  <c r="AB10" i="12"/>
  <c r="AA22" i="12"/>
  <c r="AA23" i="12"/>
  <c r="AA24" i="12"/>
  <c r="AA25" i="12"/>
  <c r="AA26" i="12"/>
  <c r="AA28" i="12"/>
  <c r="AA29" i="12"/>
  <c r="AA30" i="12"/>
  <c r="AA31" i="12"/>
  <c r="AA32" i="12"/>
  <c r="AA34" i="12"/>
  <c r="AA35" i="12"/>
  <c r="AA36" i="12"/>
  <c r="AA37" i="12"/>
  <c r="AA38" i="12"/>
  <c r="AA40" i="12"/>
  <c r="AA41" i="12"/>
  <c r="AA42" i="12"/>
  <c r="AA43" i="12"/>
  <c r="AA44" i="12"/>
  <c r="AA46" i="12"/>
  <c r="AA47" i="12"/>
  <c r="AA48" i="12"/>
  <c r="AA49" i="12"/>
  <c r="AA50" i="12"/>
  <c r="AA52" i="12"/>
  <c r="AA53" i="12"/>
  <c r="AA54" i="12"/>
  <c r="AA55" i="12"/>
  <c r="AA56" i="12"/>
  <c r="AA58" i="12"/>
  <c r="AA59" i="12"/>
  <c r="AA60" i="12"/>
  <c r="AA61" i="12"/>
  <c r="AA62" i="12"/>
  <c r="AA64" i="12"/>
  <c r="AA65" i="12"/>
  <c r="AA66" i="12"/>
  <c r="AA67" i="12"/>
  <c r="AA68" i="12"/>
  <c r="AA70" i="12"/>
  <c r="AA71" i="12"/>
  <c r="AA72" i="12"/>
  <c r="AA73" i="12"/>
  <c r="AA74" i="12"/>
  <c r="AA76" i="12"/>
  <c r="AA77" i="12"/>
  <c r="AA78" i="12"/>
  <c r="AA79" i="12"/>
  <c r="AA80" i="12"/>
  <c r="AA82" i="12"/>
  <c r="AA83" i="12"/>
  <c r="AA84" i="12"/>
  <c r="AA85" i="12"/>
  <c r="AA86" i="12"/>
  <c r="AA88" i="12"/>
  <c r="AA89" i="12"/>
  <c r="AA90" i="12"/>
  <c r="AA91" i="12"/>
  <c r="AA92" i="12"/>
  <c r="AA94" i="12"/>
  <c r="AA95" i="12"/>
  <c r="AA96" i="12"/>
  <c r="AA97" i="12"/>
  <c r="AA98" i="12"/>
  <c r="AA16" i="12"/>
  <c r="AA17" i="12"/>
  <c r="AA18" i="12"/>
  <c r="AA19" i="12"/>
  <c r="AA20" i="12"/>
  <c r="AA11" i="12"/>
  <c r="AA12" i="12"/>
  <c r="AA13" i="12"/>
  <c r="AA14" i="12"/>
  <c r="AA10" i="12"/>
  <c r="G100" i="7" l="1"/>
  <c r="H100" i="7" s="1"/>
  <c r="G99" i="7"/>
  <c r="H99" i="7" s="1"/>
  <c r="H98" i="7"/>
  <c r="G98" i="7"/>
  <c r="H97" i="7"/>
  <c r="G97" i="7"/>
  <c r="G96" i="7"/>
  <c r="H96" i="7" s="1"/>
  <c r="H94" i="7"/>
  <c r="G94" i="7"/>
  <c r="G93" i="7"/>
  <c r="H93" i="7" s="1"/>
  <c r="H92" i="7"/>
  <c r="G92" i="7"/>
  <c r="H91" i="7"/>
  <c r="G91" i="7"/>
  <c r="H90" i="7"/>
  <c r="G90" i="7"/>
  <c r="G88" i="7"/>
  <c r="H88" i="7" s="1"/>
  <c r="H87" i="7"/>
  <c r="G87" i="7"/>
  <c r="H86" i="7"/>
  <c r="G86" i="7"/>
  <c r="H85" i="7"/>
  <c r="G85" i="7"/>
  <c r="H84" i="7"/>
  <c r="G84" i="7"/>
  <c r="H82" i="7"/>
  <c r="G82" i="7"/>
  <c r="H81" i="7"/>
  <c r="G81" i="7"/>
  <c r="H80" i="7"/>
  <c r="G80" i="7"/>
  <c r="H79" i="7"/>
  <c r="G79" i="7"/>
  <c r="H78" i="7"/>
  <c r="G78" i="7"/>
  <c r="H76" i="7"/>
  <c r="G76" i="7"/>
  <c r="H75" i="7"/>
  <c r="G75" i="7"/>
  <c r="H74" i="7"/>
  <c r="G74" i="7"/>
  <c r="H73" i="7"/>
  <c r="G73" i="7"/>
  <c r="H72" i="7"/>
  <c r="G72" i="7"/>
  <c r="H70" i="7"/>
  <c r="G70" i="7"/>
  <c r="H69" i="7"/>
  <c r="G69" i="7"/>
  <c r="H68" i="7"/>
  <c r="G68" i="7"/>
  <c r="H67" i="7"/>
  <c r="G67" i="7"/>
  <c r="H66" i="7"/>
  <c r="G66" i="7"/>
  <c r="H64" i="7"/>
  <c r="G64" i="7"/>
  <c r="H63" i="7"/>
  <c r="G63" i="7"/>
  <c r="H62" i="7"/>
  <c r="G62" i="7"/>
  <c r="H61" i="7"/>
  <c r="G61" i="7"/>
  <c r="H60" i="7"/>
  <c r="G60" i="7"/>
  <c r="H58" i="7"/>
  <c r="G58" i="7"/>
  <c r="H57" i="7"/>
  <c r="G57" i="7"/>
  <c r="H56" i="7"/>
  <c r="G56" i="7"/>
  <c r="H55" i="7"/>
  <c r="G55" i="7"/>
  <c r="H54" i="7"/>
  <c r="G54" i="7"/>
  <c r="H52" i="7"/>
  <c r="G52" i="7"/>
  <c r="H51" i="7"/>
  <c r="G51" i="7"/>
  <c r="H50" i="7"/>
  <c r="G50" i="7"/>
  <c r="H49" i="7"/>
  <c r="G49" i="7"/>
  <c r="H48" i="7"/>
  <c r="G48" i="7"/>
  <c r="H46" i="7"/>
  <c r="G46" i="7"/>
  <c r="H45" i="7"/>
  <c r="G45" i="7"/>
  <c r="H44" i="7"/>
  <c r="G44" i="7"/>
  <c r="H43" i="7"/>
  <c r="G43" i="7"/>
  <c r="H42" i="7"/>
  <c r="G42" i="7"/>
  <c r="H40" i="7"/>
  <c r="G40" i="7"/>
  <c r="H39" i="7"/>
  <c r="G39" i="7"/>
  <c r="H38" i="7"/>
  <c r="G38" i="7"/>
  <c r="H37" i="7"/>
  <c r="G37" i="7"/>
  <c r="H36" i="7"/>
  <c r="G36" i="7"/>
  <c r="H34" i="7"/>
  <c r="G34" i="7"/>
  <c r="H33" i="7"/>
  <c r="G33" i="7"/>
  <c r="H32" i="7"/>
  <c r="G32" i="7"/>
  <c r="H31" i="7"/>
  <c r="G31" i="7"/>
  <c r="H30" i="7"/>
  <c r="G30" i="7"/>
  <c r="H28" i="7"/>
  <c r="G28" i="7"/>
  <c r="H27" i="7"/>
  <c r="G27" i="7"/>
  <c r="H26" i="7"/>
  <c r="G26" i="7"/>
  <c r="H25" i="7"/>
  <c r="G25" i="7"/>
  <c r="H24" i="7"/>
  <c r="G24" i="7"/>
  <c r="H22" i="7"/>
  <c r="G22" i="7"/>
  <c r="H21" i="7"/>
  <c r="G21" i="7"/>
  <c r="H20" i="7"/>
  <c r="G20" i="7"/>
  <c r="H19" i="7"/>
  <c r="G19" i="7"/>
  <c r="H18" i="7"/>
  <c r="G18" i="7"/>
  <c r="H16" i="7"/>
  <c r="G16" i="7"/>
  <c r="H15" i="7"/>
  <c r="G15" i="7"/>
  <c r="H14" i="7"/>
  <c r="G14" i="7"/>
  <c r="H13" i="7"/>
  <c r="G13" i="7"/>
  <c r="H12" i="7"/>
  <c r="G12" i="7"/>
  <c r="H10" i="7"/>
  <c r="G10" i="7"/>
  <c r="H9" i="7"/>
  <c r="G9" i="7"/>
  <c r="H8" i="7"/>
  <c r="G8" i="7"/>
  <c r="H7" i="7"/>
  <c r="G7" i="7"/>
  <c r="H6" i="7"/>
  <c r="G6" i="7"/>
  <c r="G101" i="6"/>
  <c r="H101" i="6" s="1"/>
  <c r="S101" i="6" s="1"/>
  <c r="G100" i="6"/>
  <c r="H100" i="6" s="1"/>
  <c r="S100" i="6" s="1"/>
  <c r="G99" i="6"/>
  <c r="H99" i="6" s="1"/>
  <c r="S99" i="6" s="1"/>
  <c r="G98" i="6"/>
  <c r="H98" i="6" s="1"/>
  <c r="S98" i="6" s="1"/>
  <c r="G97" i="6"/>
  <c r="H97" i="6" s="1"/>
  <c r="S97" i="6" s="1"/>
  <c r="G95" i="6"/>
  <c r="H95" i="6" s="1"/>
  <c r="S95" i="6" s="1"/>
  <c r="G94" i="6"/>
  <c r="H94" i="6" s="1"/>
  <c r="S94" i="6" s="1"/>
  <c r="G93" i="6"/>
  <c r="H93" i="6" s="1"/>
  <c r="S93" i="6" s="1"/>
  <c r="G92" i="6"/>
  <c r="H92" i="6" s="1"/>
  <c r="S92" i="6" s="1"/>
  <c r="G91" i="6"/>
  <c r="H91" i="6" s="1"/>
  <c r="S91" i="6" s="1"/>
  <c r="G89" i="6"/>
  <c r="H89" i="6" s="1"/>
  <c r="S89" i="6" s="1"/>
  <c r="G88" i="6"/>
  <c r="H88" i="6" s="1"/>
  <c r="S88" i="6" s="1"/>
  <c r="G87" i="6"/>
  <c r="H87" i="6" s="1"/>
  <c r="S87" i="6" s="1"/>
  <c r="G86" i="6"/>
  <c r="H86" i="6" s="1"/>
  <c r="S86" i="6" s="1"/>
  <c r="G85" i="6"/>
  <c r="H85" i="6" s="1"/>
  <c r="S85" i="6" s="1"/>
  <c r="G83" i="6"/>
  <c r="H83" i="6" s="1"/>
  <c r="S83" i="6" s="1"/>
  <c r="G82" i="6"/>
  <c r="H82" i="6" s="1"/>
  <c r="S82" i="6" s="1"/>
  <c r="G81" i="6"/>
  <c r="H81" i="6" s="1"/>
  <c r="S81" i="6" s="1"/>
  <c r="G80" i="6"/>
  <c r="H80" i="6" s="1"/>
  <c r="S80" i="6" s="1"/>
  <c r="G79" i="6"/>
  <c r="H79" i="6" s="1"/>
  <c r="S79" i="6" s="1"/>
  <c r="G77" i="6"/>
  <c r="H77" i="6" s="1"/>
  <c r="S77" i="6" s="1"/>
  <c r="G76" i="6"/>
  <c r="H76" i="6" s="1"/>
  <c r="S76" i="6" s="1"/>
  <c r="G75" i="6"/>
  <c r="H75" i="6" s="1"/>
  <c r="S75" i="6" s="1"/>
  <c r="G74" i="6"/>
  <c r="H74" i="6" s="1"/>
  <c r="S74" i="6" s="1"/>
  <c r="G73" i="6"/>
  <c r="H73" i="6" s="1"/>
  <c r="S73" i="6" s="1"/>
  <c r="G71" i="6"/>
  <c r="H71" i="6" s="1"/>
  <c r="S71" i="6" s="1"/>
  <c r="G70" i="6"/>
  <c r="H70" i="6" s="1"/>
  <c r="S70" i="6" s="1"/>
  <c r="G69" i="6"/>
  <c r="H69" i="6" s="1"/>
  <c r="S69" i="6" s="1"/>
  <c r="G68" i="6"/>
  <c r="H68" i="6" s="1"/>
  <c r="S68" i="6" s="1"/>
  <c r="G67" i="6"/>
  <c r="H67" i="6" s="1"/>
  <c r="S67" i="6" s="1"/>
  <c r="G65" i="6"/>
  <c r="H65" i="6" s="1"/>
  <c r="S65" i="6" s="1"/>
  <c r="G64" i="6"/>
  <c r="H64" i="6" s="1"/>
  <c r="S64" i="6" s="1"/>
  <c r="G63" i="6"/>
  <c r="H63" i="6" s="1"/>
  <c r="S63" i="6" s="1"/>
  <c r="G62" i="6"/>
  <c r="H62" i="6" s="1"/>
  <c r="S62" i="6" s="1"/>
  <c r="G61" i="6"/>
  <c r="H61" i="6" s="1"/>
  <c r="S61" i="6" s="1"/>
  <c r="G59" i="6"/>
  <c r="H59" i="6" s="1"/>
  <c r="S59" i="6" s="1"/>
  <c r="G58" i="6"/>
  <c r="H58" i="6" s="1"/>
  <c r="S58" i="6" s="1"/>
  <c r="G57" i="6"/>
  <c r="H57" i="6" s="1"/>
  <c r="S57" i="6" s="1"/>
  <c r="G56" i="6"/>
  <c r="H56" i="6" s="1"/>
  <c r="S56" i="6" s="1"/>
  <c r="G55" i="6"/>
  <c r="H55" i="6" s="1"/>
  <c r="S55" i="6" s="1"/>
  <c r="G53" i="6"/>
  <c r="H53" i="6" s="1"/>
  <c r="S53" i="6" s="1"/>
  <c r="G52" i="6"/>
  <c r="H52" i="6" s="1"/>
  <c r="S52" i="6" s="1"/>
  <c r="G51" i="6"/>
  <c r="H51" i="6" s="1"/>
  <c r="S51" i="6" s="1"/>
  <c r="G50" i="6"/>
  <c r="H50" i="6" s="1"/>
  <c r="S50" i="6" s="1"/>
  <c r="G49" i="6"/>
  <c r="H49" i="6" s="1"/>
  <c r="S49" i="6" s="1"/>
  <c r="G47" i="6"/>
  <c r="H47" i="6" s="1"/>
  <c r="S47" i="6" s="1"/>
  <c r="G46" i="6"/>
  <c r="H46" i="6" s="1"/>
  <c r="S46" i="6" s="1"/>
  <c r="G45" i="6"/>
  <c r="H45" i="6" s="1"/>
  <c r="S45" i="6" s="1"/>
  <c r="G44" i="6"/>
  <c r="H44" i="6" s="1"/>
  <c r="S44" i="6" s="1"/>
  <c r="G43" i="6"/>
  <c r="H43" i="6" s="1"/>
  <c r="S43" i="6" s="1"/>
  <c r="G41" i="6"/>
  <c r="H41" i="6" s="1"/>
  <c r="S41" i="6" s="1"/>
  <c r="G40" i="6"/>
  <c r="H40" i="6" s="1"/>
  <c r="S40" i="6" s="1"/>
  <c r="G39" i="6"/>
  <c r="H39" i="6" s="1"/>
  <c r="S39" i="6" s="1"/>
  <c r="G38" i="6"/>
  <c r="H38" i="6" s="1"/>
  <c r="S38" i="6" s="1"/>
  <c r="G37" i="6"/>
  <c r="H37" i="6" s="1"/>
  <c r="S37" i="6" s="1"/>
  <c r="G35" i="6"/>
  <c r="H35" i="6" s="1"/>
  <c r="S35" i="6" s="1"/>
  <c r="G34" i="6"/>
  <c r="H34" i="6" s="1"/>
  <c r="S34" i="6" s="1"/>
  <c r="G33" i="6"/>
  <c r="H33" i="6" s="1"/>
  <c r="S33" i="6" s="1"/>
  <c r="G32" i="6"/>
  <c r="H32" i="6" s="1"/>
  <c r="S32" i="6" s="1"/>
  <c r="G31" i="6"/>
  <c r="H31" i="6" s="1"/>
  <c r="S31" i="6" s="1"/>
  <c r="G29" i="6"/>
  <c r="H29" i="6" s="1"/>
  <c r="S29" i="6" s="1"/>
  <c r="G28" i="6"/>
  <c r="H28" i="6" s="1"/>
  <c r="S28" i="6" s="1"/>
  <c r="G27" i="6"/>
  <c r="H27" i="6" s="1"/>
  <c r="S27" i="6" s="1"/>
  <c r="G26" i="6"/>
  <c r="H26" i="6" s="1"/>
  <c r="S26" i="6" s="1"/>
  <c r="G25" i="6"/>
  <c r="H25" i="6" s="1"/>
  <c r="S25" i="6" s="1"/>
  <c r="G23" i="6"/>
  <c r="H23" i="6" s="1"/>
  <c r="S23" i="6" s="1"/>
  <c r="G22" i="6"/>
  <c r="H22" i="6" s="1"/>
  <c r="S22" i="6" s="1"/>
  <c r="G21" i="6"/>
  <c r="H21" i="6" s="1"/>
  <c r="S21" i="6" s="1"/>
  <c r="G20" i="6"/>
  <c r="H20" i="6" s="1"/>
  <c r="S20" i="6" s="1"/>
  <c r="G19" i="6"/>
  <c r="H19" i="6" s="1"/>
  <c r="S19" i="6" s="1"/>
  <c r="G17" i="6"/>
  <c r="H17" i="6" s="1"/>
  <c r="S17" i="6" s="1"/>
  <c r="G16" i="6"/>
  <c r="H16" i="6" s="1"/>
  <c r="S16" i="6" s="1"/>
  <c r="G15" i="6"/>
  <c r="H15" i="6" s="1"/>
  <c r="S15" i="6" s="1"/>
  <c r="G14" i="6"/>
  <c r="H14" i="6" s="1"/>
  <c r="S14" i="6" s="1"/>
  <c r="G13" i="6"/>
  <c r="H13" i="6" s="1"/>
  <c r="S13" i="6" s="1"/>
  <c r="G11" i="6"/>
  <c r="H11" i="6" s="1"/>
  <c r="S11" i="6" s="1"/>
  <c r="G10" i="6"/>
  <c r="H10" i="6" s="1"/>
  <c r="S10" i="6" s="1"/>
  <c r="G9" i="6"/>
  <c r="H9" i="6" s="1"/>
  <c r="S9" i="6" s="1"/>
  <c r="G8" i="6"/>
  <c r="H8" i="6" s="1"/>
  <c r="S8" i="6" s="1"/>
  <c r="G7" i="6"/>
  <c r="H7" i="6" s="1"/>
  <c r="S7" i="6" s="1"/>
  <c r="AC98" i="12"/>
  <c r="AD98" i="12" s="1"/>
  <c r="AE98" i="12" s="1"/>
  <c r="AC92" i="12"/>
  <c r="AD92" i="12" s="1"/>
  <c r="AE92" i="12" s="1"/>
  <c r="AC90" i="12"/>
  <c r="AD90" i="12" s="1"/>
  <c r="AE90" i="12" s="1"/>
  <c r="AC89" i="12"/>
  <c r="AD89" i="12" s="1"/>
  <c r="AE89" i="12" s="1"/>
  <c r="AC88" i="12"/>
  <c r="AD88" i="12" s="1"/>
  <c r="AE88" i="12" s="1"/>
  <c r="AC86" i="12"/>
  <c r="AD86" i="12" s="1"/>
  <c r="AE86" i="12" s="1"/>
  <c r="AC82" i="12"/>
  <c r="AD82" i="12" s="1"/>
  <c r="AE82" i="12" s="1"/>
  <c r="AC78" i="12"/>
  <c r="AD78" i="12" s="1"/>
  <c r="AE78" i="12" s="1"/>
  <c r="AC73" i="12"/>
  <c r="AD73" i="12" s="1"/>
  <c r="AE73" i="12" s="1"/>
  <c r="AC72" i="12"/>
  <c r="AD72" i="12" s="1"/>
  <c r="AE72" i="12" s="1"/>
  <c r="AC70" i="12"/>
  <c r="AD70" i="12" s="1"/>
  <c r="AE70" i="12" s="1"/>
  <c r="AC68" i="12"/>
  <c r="AD68" i="12" s="1"/>
  <c r="AE68" i="12" s="1"/>
  <c r="AC67" i="12"/>
  <c r="AD67" i="12" s="1"/>
  <c r="AE67" i="12" s="1"/>
  <c r="AC66" i="12"/>
  <c r="AD66" i="12" s="1"/>
  <c r="AE66" i="12" s="1"/>
  <c r="AC64" i="12"/>
  <c r="AD64" i="12" s="1"/>
  <c r="AE64" i="12" s="1"/>
  <c r="AC62" i="12"/>
  <c r="AD62" i="12" s="1"/>
  <c r="AE62" i="12" s="1"/>
  <c r="AC61" i="12"/>
  <c r="AD61" i="12" s="1"/>
  <c r="AE61" i="12" s="1"/>
  <c r="AC60" i="12"/>
  <c r="AD60" i="12" s="1"/>
  <c r="AE60" i="12" s="1"/>
  <c r="AC58" i="12"/>
  <c r="AD58" i="12" s="1"/>
  <c r="AE58" i="12" s="1"/>
  <c r="AC56" i="12"/>
  <c r="AD56" i="12" s="1"/>
  <c r="AE56" i="12" s="1"/>
  <c r="AC55" i="12"/>
  <c r="AD55" i="12" s="1"/>
  <c r="AE55" i="12" s="1"/>
  <c r="AC53" i="12"/>
  <c r="AD53" i="12" s="1"/>
  <c r="AE53" i="12" s="1"/>
  <c r="AC52" i="12"/>
  <c r="AD52" i="12" s="1"/>
  <c r="AE52" i="12" s="1"/>
  <c r="AC49" i="12"/>
  <c r="AD49" i="12" s="1"/>
  <c r="AE49" i="12" s="1"/>
  <c r="AC48" i="12"/>
  <c r="AD48" i="12" s="1"/>
  <c r="AE48" i="12" s="1"/>
  <c r="AC47" i="12"/>
  <c r="AD47" i="12" s="1"/>
  <c r="AE47" i="12" s="1"/>
  <c r="AC44" i="12"/>
  <c r="AD44" i="12" s="1"/>
  <c r="AE44" i="12" s="1"/>
  <c r="AC43" i="12"/>
  <c r="AD43" i="12" s="1"/>
  <c r="AE43" i="12" s="1"/>
  <c r="AC40" i="12"/>
  <c r="AD40" i="12" s="1"/>
  <c r="AE40" i="12" s="1"/>
  <c r="AC38" i="12"/>
  <c r="AD38" i="12" s="1"/>
  <c r="AE38" i="12" s="1"/>
  <c r="AC37" i="12"/>
  <c r="AD37" i="12" s="1"/>
  <c r="AE37" i="12" s="1"/>
  <c r="AC36" i="12"/>
  <c r="AD36" i="12" s="1"/>
  <c r="AE36" i="12" s="1"/>
  <c r="AC34" i="12"/>
  <c r="AD34" i="12" s="1"/>
  <c r="AE34" i="12" s="1"/>
  <c r="AC26" i="12"/>
  <c r="AD26" i="12" s="1"/>
  <c r="AE26" i="12" s="1"/>
  <c r="AC25" i="12"/>
  <c r="AD25" i="12" s="1"/>
  <c r="AE25" i="12" s="1"/>
  <c r="AC24" i="12"/>
  <c r="AD24" i="12" s="1"/>
  <c r="AE24" i="12" s="1"/>
  <c r="AC22" i="12"/>
  <c r="AD22" i="12" s="1"/>
  <c r="AE22" i="12" s="1"/>
  <c r="AC20" i="12"/>
  <c r="AD20" i="12" s="1"/>
  <c r="AE20" i="12" s="1"/>
  <c r="AC19" i="12"/>
  <c r="AD19" i="12" s="1"/>
  <c r="AE19" i="12" s="1"/>
  <c r="AC18" i="12"/>
  <c r="AD18" i="12" s="1"/>
  <c r="AE18" i="12" s="1"/>
  <c r="AC16" i="12"/>
  <c r="AD16" i="12" s="1"/>
  <c r="AE16" i="12" s="1"/>
  <c r="AC12" i="12"/>
  <c r="AD12" i="12" s="1"/>
  <c r="AE12" i="12" s="1"/>
  <c r="AC11" i="12"/>
  <c r="AD11" i="12" s="1"/>
  <c r="AE11" i="12" s="1"/>
  <c r="AC10" i="12"/>
  <c r="AD10" i="12" s="1"/>
  <c r="AE10" i="12" s="1"/>
  <c r="U98" i="12"/>
  <c r="M98" i="12"/>
  <c r="G98" i="12"/>
  <c r="H98" i="12" s="1"/>
  <c r="AC97" i="12"/>
  <c r="AD97" i="12" s="1"/>
  <c r="AE97" i="12" s="1"/>
  <c r="U97" i="12"/>
  <c r="M97" i="12"/>
  <c r="G97" i="12"/>
  <c r="H97" i="12" s="1"/>
  <c r="U96" i="12"/>
  <c r="M96" i="12"/>
  <c r="G96" i="12"/>
  <c r="H96" i="12" s="1"/>
  <c r="U95" i="12"/>
  <c r="M95" i="12"/>
  <c r="G95" i="12"/>
  <c r="H95" i="12" s="1"/>
  <c r="U94" i="12"/>
  <c r="M94" i="12"/>
  <c r="G94" i="12"/>
  <c r="H94" i="12" s="1"/>
  <c r="U92" i="12"/>
  <c r="M92" i="12"/>
  <c r="N92" i="12" s="1"/>
  <c r="O92" i="12" s="1"/>
  <c r="P92" i="12" s="1"/>
  <c r="AH92" i="12" s="1"/>
  <c r="H92" i="12"/>
  <c r="V92" i="12" s="1"/>
  <c r="W92" i="12" s="1"/>
  <c r="X92" i="12" s="1"/>
  <c r="AI92" i="12" s="1"/>
  <c r="G92" i="12"/>
  <c r="AC91" i="12"/>
  <c r="AD91" i="12" s="1"/>
  <c r="AE91" i="12" s="1"/>
  <c r="U91" i="12"/>
  <c r="M91" i="12"/>
  <c r="G91" i="12"/>
  <c r="H91" i="12" s="1"/>
  <c r="U90" i="12"/>
  <c r="M90" i="12"/>
  <c r="G90" i="12"/>
  <c r="H90" i="12" s="1"/>
  <c r="U89" i="12"/>
  <c r="M89" i="12"/>
  <c r="G89" i="12"/>
  <c r="H89" i="12" s="1"/>
  <c r="U88" i="12"/>
  <c r="M88" i="12"/>
  <c r="H88" i="12"/>
  <c r="G88" i="12"/>
  <c r="U86" i="12"/>
  <c r="M86" i="12"/>
  <c r="G86" i="12"/>
  <c r="H86" i="12" s="1"/>
  <c r="U85" i="12"/>
  <c r="M85" i="12"/>
  <c r="G85" i="12"/>
  <c r="H85" i="12" s="1"/>
  <c r="AC84" i="12"/>
  <c r="AD84" i="12" s="1"/>
  <c r="AE84" i="12" s="1"/>
  <c r="U84" i="12"/>
  <c r="M84" i="12"/>
  <c r="G84" i="12"/>
  <c r="H84" i="12" s="1"/>
  <c r="U83" i="12"/>
  <c r="M83" i="12"/>
  <c r="G83" i="12"/>
  <c r="H83" i="12" s="1"/>
  <c r="U82" i="12"/>
  <c r="M82" i="12"/>
  <c r="G82" i="12"/>
  <c r="H82" i="12" s="1"/>
  <c r="AC80" i="12"/>
  <c r="AD80" i="12" s="1"/>
  <c r="AE80" i="12" s="1"/>
  <c r="U80" i="12"/>
  <c r="M80" i="12"/>
  <c r="G80" i="12"/>
  <c r="H80" i="12" s="1"/>
  <c r="AC79" i="12"/>
  <c r="AD79" i="12" s="1"/>
  <c r="AE79" i="12" s="1"/>
  <c r="U79" i="12"/>
  <c r="M79" i="12"/>
  <c r="G79" i="12"/>
  <c r="H79" i="12" s="1"/>
  <c r="U78" i="12"/>
  <c r="M78" i="12"/>
  <c r="G78" i="12"/>
  <c r="H78" i="12" s="1"/>
  <c r="U77" i="12"/>
  <c r="M77" i="12"/>
  <c r="G77" i="12"/>
  <c r="H77" i="12" s="1"/>
  <c r="AC76" i="12"/>
  <c r="AD76" i="12" s="1"/>
  <c r="AE76" i="12" s="1"/>
  <c r="U76" i="12"/>
  <c r="M76" i="12"/>
  <c r="G76" i="12"/>
  <c r="H76" i="12" s="1"/>
  <c r="U74" i="12"/>
  <c r="M74" i="12"/>
  <c r="H74" i="12"/>
  <c r="G74" i="12"/>
  <c r="U73" i="12"/>
  <c r="M73" i="12"/>
  <c r="N73" i="12" s="1"/>
  <c r="O73" i="12" s="1"/>
  <c r="P73" i="12" s="1"/>
  <c r="AH73" i="12" s="1"/>
  <c r="H73" i="12"/>
  <c r="G73" i="12"/>
  <c r="U72" i="12"/>
  <c r="M72" i="12"/>
  <c r="G72" i="12"/>
  <c r="H72" i="12" s="1"/>
  <c r="U71" i="12"/>
  <c r="M71" i="12"/>
  <c r="G71" i="12"/>
  <c r="H71" i="12" s="1"/>
  <c r="U70" i="12"/>
  <c r="V70" i="12" s="1"/>
  <c r="W70" i="12" s="1"/>
  <c r="X70" i="12" s="1"/>
  <c r="AI70" i="12" s="1"/>
  <c r="M70" i="12"/>
  <c r="H70" i="12"/>
  <c r="N70" i="12" s="1"/>
  <c r="O70" i="12" s="1"/>
  <c r="P70" i="12" s="1"/>
  <c r="AH70" i="12" s="1"/>
  <c r="G70" i="12"/>
  <c r="U68" i="12"/>
  <c r="M68" i="12"/>
  <c r="G68" i="12"/>
  <c r="H68" i="12" s="1"/>
  <c r="U67" i="12"/>
  <c r="M67" i="12"/>
  <c r="G67" i="12"/>
  <c r="H67" i="12" s="1"/>
  <c r="U66" i="12"/>
  <c r="M66" i="12"/>
  <c r="G66" i="12"/>
  <c r="H66" i="12" s="1"/>
  <c r="U65" i="12"/>
  <c r="V65" i="12" s="1"/>
  <c r="W65" i="12" s="1"/>
  <c r="X65" i="12" s="1"/>
  <c r="AI65" i="12" s="1"/>
  <c r="M65" i="12"/>
  <c r="N65" i="12" s="1"/>
  <c r="O65" i="12" s="1"/>
  <c r="P65" i="12" s="1"/>
  <c r="AH65" i="12" s="1"/>
  <c r="H65" i="12"/>
  <c r="G65" i="12"/>
  <c r="U64" i="12"/>
  <c r="M64" i="12"/>
  <c r="G64" i="12"/>
  <c r="H64" i="12" s="1"/>
  <c r="U62" i="12"/>
  <c r="M62" i="12"/>
  <c r="G62" i="12"/>
  <c r="H62" i="12" s="1"/>
  <c r="U61" i="12"/>
  <c r="M61" i="12"/>
  <c r="G61" i="12"/>
  <c r="H61" i="12" s="1"/>
  <c r="U60" i="12"/>
  <c r="M60" i="12"/>
  <c r="G60" i="12"/>
  <c r="H60" i="12" s="1"/>
  <c r="U59" i="12"/>
  <c r="M59" i="12"/>
  <c r="G59" i="12"/>
  <c r="H59" i="12" s="1"/>
  <c r="U58" i="12"/>
  <c r="M58" i="12"/>
  <c r="G58" i="12"/>
  <c r="H58" i="12" s="1"/>
  <c r="U56" i="12"/>
  <c r="M56" i="12"/>
  <c r="G56" i="12"/>
  <c r="H56" i="12" s="1"/>
  <c r="U55" i="12"/>
  <c r="M55" i="12"/>
  <c r="G55" i="12"/>
  <c r="H55" i="12" s="1"/>
  <c r="U54" i="12"/>
  <c r="M54" i="12"/>
  <c r="G54" i="12"/>
  <c r="H54" i="12" s="1"/>
  <c r="U53" i="12"/>
  <c r="M53" i="12"/>
  <c r="G53" i="12"/>
  <c r="H53" i="12" s="1"/>
  <c r="U52" i="12"/>
  <c r="M52" i="12"/>
  <c r="G52" i="12"/>
  <c r="H52" i="12" s="1"/>
  <c r="U50" i="12"/>
  <c r="M50" i="12"/>
  <c r="G50" i="12"/>
  <c r="H50" i="12" s="1"/>
  <c r="U49" i="12"/>
  <c r="M49" i="12"/>
  <c r="G49" i="12"/>
  <c r="H49" i="12" s="1"/>
  <c r="U48" i="12"/>
  <c r="M48" i="12"/>
  <c r="G48" i="12"/>
  <c r="H48" i="12" s="1"/>
  <c r="U47" i="12"/>
  <c r="M47" i="12"/>
  <c r="G47" i="12"/>
  <c r="H47" i="12" s="1"/>
  <c r="U46" i="12"/>
  <c r="M46" i="12"/>
  <c r="G46" i="12"/>
  <c r="H46" i="12" s="1"/>
  <c r="U44" i="12"/>
  <c r="M44" i="12"/>
  <c r="G44" i="12"/>
  <c r="H44" i="12" s="1"/>
  <c r="U43" i="12"/>
  <c r="M43" i="12"/>
  <c r="G43" i="12"/>
  <c r="H43" i="12" s="1"/>
  <c r="AC42" i="12"/>
  <c r="AD42" i="12" s="1"/>
  <c r="AE42" i="12" s="1"/>
  <c r="U42" i="12"/>
  <c r="M42" i="12"/>
  <c r="G42" i="12"/>
  <c r="H42" i="12" s="1"/>
  <c r="U41" i="12"/>
  <c r="M41" i="12"/>
  <c r="G41" i="12"/>
  <c r="H41" i="12" s="1"/>
  <c r="U40" i="12"/>
  <c r="M40" i="12"/>
  <c r="G40" i="12"/>
  <c r="H40" i="12" s="1"/>
  <c r="U38" i="12"/>
  <c r="M38" i="12"/>
  <c r="G38" i="12"/>
  <c r="H38" i="12" s="1"/>
  <c r="U37" i="12"/>
  <c r="M37" i="12"/>
  <c r="G37" i="12"/>
  <c r="H37" i="12" s="1"/>
  <c r="U36" i="12"/>
  <c r="M36" i="12"/>
  <c r="G36" i="12"/>
  <c r="H36" i="12" s="1"/>
  <c r="U35" i="12"/>
  <c r="M35" i="12"/>
  <c r="G35" i="12"/>
  <c r="H35" i="12" s="1"/>
  <c r="U34" i="12"/>
  <c r="M34" i="12"/>
  <c r="G34" i="12"/>
  <c r="H34" i="12" s="1"/>
  <c r="AC32" i="12"/>
  <c r="AD32" i="12" s="1"/>
  <c r="AE32" i="12" s="1"/>
  <c r="U32" i="12"/>
  <c r="M32" i="12"/>
  <c r="G32" i="12"/>
  <c r="H32" i="12" s="1"/>
  <c r="U31" i="12"/>
  <c r="M31" i="12"/>
  <c r="H31" i="12"/>
  <c r="G31" i="12"/>
  <c r="AC30" i="12"/>
  <c r="AD30" i="12" s="1"/>
  <c r="AE30" i="12" s="1"/>
  <c r="U30" i="12"/>
  <c r="M30" i="12"/>
  <c r="G30" i="12"/>
  <c r="H30" i="12" s="1"/>
  <c r="AC29" i="12"/>
  <c r="AD29" i="12" s="1"/>
  <c r="AE29" i="12" s="1"/>
  <c r="U29" i="12"/>
  <c r="M29" i="12"/>
  <c r="G29" i="12"/>
  <c r="H29" i="12" s="1"/>
  <c r="U28" i="12"/>
  <c r="M28" i="12"/>
  <c r="G28" i="12"/>
  <c r="H28" i="12" s="1"/>
  <c r="U26" i="12"/>
  <c r="M26" i="12"/>
  <c r="G26" i="12"/>
  <c r="H26" i="12" s="1"/>
  <c r="U25" i="12"/>
  <c r="M25" i="12"/>
  <c r="G25" i="12"/>
  <c r="H25" i="12" s="1"/>
  <c r="U24" i="12"/>
  <c r="M24" i="12"/>
  <c r="G24" i="12"/>
  <c r="H24" i="12" s="1"/>
  <c r="AC23" i="12"/>
  <c r="AD23" i="12" s="1"/>
  <c r="AE23" i="12" s="1"/>
  <c r="U23" i="12"/>
  <c r="M23" i="12"/>
  <c r="G23" i="12"/>
  <c r="H23" i="12" s="1"/>
  <c r="U22" i="12"/>
  <c r="M22" i="12"/>
  <c r="G22" i="12"/>
  <c r="H22" i="12" s="1"/>
  <c r="U20" i="12"/>
  <c r="M20" i="12"/>
  <c r="G20" i="12"/>
  <c r="H20" i="12" s="1"/>
  <c r="U19" i="12"/>
  <c r="M19" i="12"/>
  <c r="G19" i="12"/>
  <c r="H19" i="12" s="1"/>
  <c r="U18" i="12"/>
  <c r="M18" i="12"/>
  <c r="G18" i="12"/>
  <c r="H18" i="12" s="1"/>
  <c r="U17" i="12"/>
  <c r="M17" i="12"/>
  <c r="H17" i="12"/>
  <c r="G17" i="12"/>
  <c r="U16" i="12"/>
  <c r="M16" i="12"/>
  <c r="G16" i="12"/>
  <c r="H16" i="12" s="1"/>
  <c r="AI10" i="12"/>
  <c r="AC13" i="12"/>
  <c r="AD13" i="12" s="1"/>
  <c r="AE13" i="12" s="1"/>
  <c r="AC14" i="12"/>
  <c r="AD14" i="12" s="1"/>
  <c r="AE14" i="12" s="1"/>
  <c r="U10" i="12"/>
  <c r="V10" i="12"/>
  <c r="W10" i="12" s="1"/>
  <c r="X10" i="12" s="1"/>
  <c r="U11" i="12"/>
  <c r="V11" i="12" s="1"/>
  <c r="W11" i="12" s="1"/>
  <c r="X11" i="12" s="1"/>
  <c r="AI11" i="12" s="1"/>
  <c r="U12" i="12"/>
  <c r="V12" i="12"/>
  <c r="W12" i="12" s="1"/>
  <c r="X12" i="12" s="1"/>
  <c r="AI12" i="12" s="1"/>
  <c r="U13" i="12"/>
  <c r="V13" i="12" s="1"/>
  <c r="W13" i="12" s="1"/>
  <c r="X13" i="12" s="1"/>
  <c r="AI13" i="12" s="1"/>
  <c r="U14" i="12"/>
  <c r="V14" i="12"/>
  <c r="W14" i="12" s="1"/>
  <c r="X14" i="12" s="1"/>
  <c r="AI14" i="12" s="1"/>
  <c r="M10" i="12"/>
  <c r="N10" i="12"/>
  <c r="O10" i="12" s="1"/>
  <c r="P10" i="12" s="1"/>
  <c r="AH10" i="12" s="1"/>
  <c r="M11" i="12"/>
  <c r="N11" i="12" s="1"/>
  <c r="O11" i="12" s="1"/>
  <c r="P11" i="12" s="1"/>
  <c r="AH11" i="12" s="1"/>
  <c r="M12" i="12"/>
  <c r="N12" i="12" s="1"/>
  <c r="O12" i="12" s="1"/>
  <c r="P12" i="12" s="1"/>
  <c r="AH12" i="12" s="1"/>
  <c r="M13" i="12"/>
  <c r="N13" i="12"/>
  <c r="O13" i="12" s="1"/>
  <c r="P13" i="12" s="1"/>
  <c r="AH13" i="12" s="1"/>
  <c r="M14" i="12"/>
  <c r="N14" i="12" s="1"/>
  <c r="O14" i="12" s="1"/>
  <c r="P14" i="12" s="1"/>
  <c r="AH14" i="12" s="1"/>
  <c r="G14" i="12"/>
  <c r="H14" i="12" s="1"/>
  <c r="G13" i="12"/>
  <c r="H13" i="12" s="1"/>
  <c r="G12" i="12"/>
  <c r="H12" i="12" s="1"/>
  <c r="G11" i="12"/>
  <c r="H11" i="12" s="1"/>
  <c r="H10" i="12"/>
  <c r="G10" i="12"/>
  <c r="N4" i="12"/>
  <c r="AC5" i="12"/>
  <c r="AD5" i="12" s="1"/>
  <c r="AE5" i="12" s="1"/>
  <c r="AC6" i="12"/>
  <c r="AD6" i="12" s="1"/>
  <c r="AE6" i="12" s="1"/>
  <c r="AC7" i="12"/>
  <c r="AD7" i="12" s="1"/>
  <c r="AE7" i="12" s="1"/>
  <c r="AC8" i="12"/>
  <c r="AD8" i="12" s="1"/>
  <c r="AE8" i="12" s="1"/>
  <c r="AC4" i="12"/>
  <c r="AD4" i="12" s="1"/>
  <c r="AE4" i="12" s="1"/>
  <c r="U4" i="12"/>
  <c r="U8" i="12"/>
  <c r="U7" i="12"/>
  <c r="U6" i="12"/>
  <c r="U5" i="12"/>
  <c r="V17" i="12" l="1"/>
  <c r="W17" i="12" s="1"/>
  <c r="X17" i="12" s="1"/>
  <c r="AI17" i="12" s="1"/>
  <c r="AJ12" i="12"/>
  <c r="AK12" i="12" s="1"/>
  <c r="AL12" i="12" s="1"/>
  <c r="AJ13" i="12"/>
  <c r="AK13" i="12" s="1"/>
  <c r="AL13" i="12" s="1"/>
  <c r="AJ14" i="12"/>
  <c r="AK14" i="12" s="1"/>
  <c r="AL14" i="12" s="1"/>
  <c r="V74" i="12"/>
  <c r="W74" i="12" s="1"/>
  <c r="X74" i="12" s="1"/>
  <c r="AI74" i="12" s="1"/>
  <c r="V73" i="12"/>
  <c r="W73" i="12" s="1"/>
  <c r="X73" i="12" s="1"/>
  <c r="AI73" i="12" s="1"/>
  <c r="AJ73" i="12" s="1"/>
  <c r="AK73" i="12" s="1"/>
  <c r="AL73" i="12" s="1"/>
  <c r="AJ11" i="12"/>
  <c r="AK11" i="12" s="1"/>
  <c r="AL11" i="12" s="1"/>
  <c r="AJ10" i="12"/>
  <c r="AK10" i="12" s="1"/>
  <c r="AL10" i="12" s="1"/>
  <c r="AC46" i="12"/>
  <c r="AD46" i="12" s="1"/>
  <c r="AE46" i="12" s="1"/>
  <c r="AC71" i="12"/>
  <c r="AD71" i="12" s="1"/>
  <c r="AE71" i="12" s="1"/>
  <c r="AC95" i="12"/>
  <c r="AD95" i="12" s="1"/>
  <c r="AE95" i="12" s="1"/>
  <c r="AC96" i="12"/>
  <c r="AD96" i="12" s="1"/>
  <c r="AE96" i="12" s="1"/>
  <c r="AC94" i="12"/>
  <c r="AD94" i="12" s="1"/>
  <c r="AE94" i="12" s="1"/>
  <c r="AC85" i="12"/>
  <c r="AD85" i="12" s="1"/>
  <c r="AE85" i="12" s="1"/>
  <c r="AC83" i="12"/>
  <c r="AD83" i="12" s="1"/>
  <c r="AE83" i="12" s="1"/>
  <c r="AC77" i="12"/>
  <c r="AD77" i="12" s="1"/>
  <c r="AE77" i="12" s="1"/>
  <c r="AC74" i="12"/>
  <c r="AD74" i="12" s="1"/>
  <c r="AE74" i="12" s="1"/>
  <c r="AC65" i="12"/>
  <c r="AD65" i="12" s="1"/>
  <c r="AE65" i="12" s="1"/>
  <c r="AC59" i="12"/>
  <c r="AD59" i="12" s="1"/>
  <c r="AE59" i="12" s="1"/>
  <c r="AC50" i="12"/>
  <c r="AD50" i="12" s="1"/>
  <c r="AE50" i="12" s="1"/>
  <c r="AC54" i="12"/>
  <c r="AD54" i="12" s="1"/>
  <c r="AE54" i="12" s="1"/>
  <c r="AC41" i="12"/>
  <c r="AD41" i="12" s="1"/>
  <c r="AE41" i="12" s="1"/>
  <c r="AC35" i="12"/>
  <c r="AD35" i="12" s="1"/>
  <c r="AE35" i="12" s="1"/>
  <c r="AC31" i="12"/>
  <c r="AD31" i="12" s="1"/>
  <c r="AE31" i="12" s="1"/>
  <c r="AC28" i="12"/>
  <c r="AD28" i="12" s="1"/>
  <c r="AE28" i="12" s="1"/>
  <c r="AC17" i="12"/>
  <c r="AD17" i="12" s="1"/>
  <c r="AE17" i="12" s="1"/>
  <c r="N88" i="12"/>
  <c r="O88" i="12" s="1"/>
  <c r="P88" i="12" s="1"/>
  <c r="AH88" i="12" s="1"/>
  <c r="N31" i="12"/>
  <c r="O31" i="12" s="1"/>
  <c r="P31" i="12" s="1"/>
  <c r="AH31" i="12" s="1"/>
  <c r="V98" i="12"/>
  <c r="W98" i="12" s="1"/>
  <c r="X98" i="12" s="1"/>
  <c r="AI98" i="12" s="1"/>
  <c r="N98" i="12"/>
  <c r="O98" i="12" s="1"/>
  <c r="P98" i="12" s="1"/>
  <c r="AH98" i="12" s="1"/>
  <c r="N97" i="12"/>
  <c r="O97" i="12" s="1"/>
  <c r="P97" i="12" s="1"/>
  <c r="AH97" i="12" s="1"/>
  <c r="V97" i="12"/>
  <c r="W97" i="12" s="1"/>
  <c r="X97" i="12" s="1"/>
  <c r="AI97" i="12" s="1"/>
  <c r="N96" i="12"/>
  <c r="O96" i="12" s="1"/>
  <c r="P96" i="12" s="1"/>
  <c r="AH96" i="12" s="1"/>
  <c r="V96" i="12"/>
  <c r="W96" i="12" s="1"/>
  <c r="X96" i="12" s="1"/>
  <c r="AI96" i="12" s="1"/>
  <c r="V95" i="12"/>
  <c r="W95" i="12" s="1"/>
  <c r="X95" i="12" s="1"/>
  <c r="AI95" i="12" s="1"/>
  <c r="N95" i="12"/>
  <c r="O95" i="12" s="1"/>
  <c r="P95" i="12" s="1"/>
  <c r="AH95" i="12" s="1"/>
  <c r="V94" i="12"/>
  <c r="W94" i="12" s="1"/>
  <c r="X94" i="12" s="1"/>
  <c r="AI94" i="12" s="1"/>
  <c r="N94" i="12"/>
  <c r="O94" i="12" s="1"/>
  <c r="P94" i="12" s="1"/>
  <c r="AH94" i="12" s="1"/>
  <c r="N90" i="12"/>
  <c r="O90" i="12" s="1"/>
  <c r="P90" i="12" s="1"/>
  <c r="AH90" i="12" s="1"/>
  <c r="V90" i="12"/>
  <c r="W90" i="12" s="1"/>
  <c r="X90" i="12" s="1"/>
  <c r="AI90" i="12" s="1"/>
  <c r="V89" i="12"/>
  <c r="W89" i="12" s="1"/>
  <c r="X89" i="12" s="1"/>
  <c r="AI89" i="12" s="1"/>
  <c r="N89" i="12"/>
  <c r="O89" i="12" s="1"/>
  <c r="P89" i="12" s="1"/>
  <c r="AH89" i="12" s="1"/>
  <c r="AJ92" i="12"/>
  <c r="AK92" i="12" s="1"/>
  <c r="AL92" i="12" s="1"/>
  <c r="N91" i="12"/>
  <c r="O91" i="12" s="1"/>
  <c r="P91" i="12" s="1"/>
  <c r="AH91" i="12" s="1"/>
  <c r="V91" i="12"/>
  <c r="W91" i="12" s="1"/>
  <c r="X91" i="12" s="1"/>
  <c r="AI91" i="12" s="1"/>
  <c r="V88" i="12"/>
  <c r="W88" i="12" s="1"/>
  <c r="X88" i="12" s="1"/>
  <c r="AI88" i="12" s="1"/>
  <c r="V83" i="12"/>
  <c r="W83" i="12" s="1"/>
  <c r="X83" i="12" s="1"/>
  <c r="AI83" i="12" s="1"/>
  <c r="N83" i="12"/>
  <c r="O83" i="12" s="1"/>
  <c r="P83" i="12" s="1"/>
  <c r="AH83" i="12" s="1"/>
  <c r="V84" i="12"/>
  <c r="W84" i="12" s="1"/>
  <c r="X84" i="12" s="1"/>
  <c r="AI84" i="12" s="1"/>
  <c r="N84" i="12"/>
  <c r="O84" i="12" s="1"/>
  <c r="P84" i="12" s="1"/>
  <c r="AH84" i="12" s="1"/>
  <c r="V86" i="12"/>
  <c r="W86" i="12" s="1"/>
  <c r="X86" i="12" s="1"/>
  <c r="AI86" i="12" s="1"/>
  <c r="N86" i="12"/>
  <c r="O86" i="12" s="1"/>
  <c r="P86" i="12" s="1"/>
  <c r="AH86" i="12" s="1"/>
  <c r="AJ86" i="12" s="1"/>
  <c r="AK86" i="12" s="1"/>
  <c r="AL86" i="12" s="1"/>
  <c r="N82" i="12"/>
  <c r="O82" i="12" s="1"/>
  <c r="P82" i="12" s="1"/>
  <c r="AH82" i="12" s="1"/>
  <c r="V82" i="12"/>
  <c r="W82" i="12" s="1"/>
  <c r="X82" i="12" s="1"/>
  <c r="AI82" i="12" s="1"/>
  <c r="N85" i="12"/>
  <c r="O85" i="12" s="1"/>
  <c r="P85" i="12" s="1"/>
  <c r="AH85" i="12" s="1"/>
  <c r="V85" i="12"/>
  <c r="W85" i="12" s="1"/>
  <c r="X85" i="12" s="1"/>
  <c r="AI85" i="12" s="1"/>
  <c r="V77" i="12"/>
  <c r="W77" i="12" s="1"/>
  <c r="X77" i="12" s="1"/>
  <c r="AI77" i="12" s="1"/>
  <c r="N77" i="12"/>
  <c r="O77" i="12" s="1"/>
  <c r="P77" i="12" s="1"/>
  <c r="AH77" i="12" s="1"/>
  <c r="N78" i="12"/>
  <c r="O78" i="12" s="1"/>
  <c r="P78" i="12" s="1"/>
  <c r="AH78" i="12" s="1"/>
  <c r="V78" i="12"/>
  <c r="W78" i="12" s="1"/>
  <c r="X78" i="12" s="1"/>
  <c r="AI78" i="12" s="1"/>
  <c r="N79" i="12"/>
  <c r="O79" i="12" s="1"/>
  <c r="P79" i="12" s="1"/>
  <c r="AH79" i="12" s="1"/>
  <c r="V79" i="12"/>
  <c r="W79" i="12" s="1"/>
  <c r="X79" i="12" s="1"/>
  <c r="AI79" i="12" s="1"/>
  <c r="V76" i="12"/>
  <c r="W76" i="12" s="1"/>
  <c r="X76" i="12" s="1"/>
  <c r="AI76" i="12" s="1"/>
  <c r="N76" i="12"/>
  <c r="O76" i="12" s="1"/>
  <c r="P76" i="12" s="1"/>
  <c r="AH76" i="12" s="1"/>
  <c r="V80" i="12"/>
  <c r="W80" i="12" s="1"/>
  <c r="X80" i="12" s="1"/>
  <c r="AI80" i="12" s="1"/>
  <c r="N80" i="12"/>
  <c r="O80" i="12" s="1"/>
  <c r="P80" i="12" s="1"/>
  <c r="AH80" i="12" s="1"/>
  <c r="V71" i="12"/>
  <c r="W71" i="12" s="1"/>
  <c r="X71" i="12" s="1"/>
  <c r="AI71" i="12" s="1"/>
  <c r="N71" i="12"/>
  <c r="O71" i="12" s="1"/>
  <c r="P71" i="12" s="1"/>
  <c r="AH71" i="12" s="1"/>
  <c r="AJ70" i="12"/>
  <c r="AK70" i="12" s="1"/>
  <c r="AL70" i="12" s="1"/>
  <c r="V72" i="12"/>
  <c r="W72" i="12" s="1"/>
  <c r="X72" i="12" s="1"/>
  <c r="AI72" i="12" s="1"/>
  <c r="N72" i="12"/>
  <c r="O72" i="12" s="1"/>
  <c r="P72" i="12" s="1"/>
  <c r="AH72" i="12" s="1"/>
  <c r="N74" i="12"/>
  <c r="O74" i="12" s="1"/>
  <c r="P74" i="12" s="1"/>
  <c r="AH74" i="12" s="1"/>
  <c r="V68" i="12"/>
  <c r="W68" i="12" s="1"/>
  <c r="X68" i="12" s="1"/>
  <c r="AI68" i="12" s="1"/>
  <c r="N68" i="12"/>
  <c r="O68" i="12" s="1"/>
  <c r="P68" i="12" s="1"/>
  <c r="AH68" i="12" s="1"/>
  <c r="V67" i="12"/>
  <c r="W67" i="12" s="1"/>
  <c r="X67" i="12" s="1"/>
  <c r="AI67" i="12" s="1"/>
  <c r="N67" i="12"/>
  <c r="O67" i="12" s="1"/>
  <c r="P67" i="12" s="1"/>
  <c r="AH67" i="12" s="1"/>
  <c r="N66" i="12"/>
  <c r="O66" i="12" s="1"/>
  <c r="P66" i="12" s="1"/>
  <c r="AH66" i="12" s="1"/>
  <c r="V66" i="12"/>
  <c r="W66" i="12" s="1"/>
  <c r="X66" i="12" s="1"/>
  <c r="AI66" i="12" s="1"/>
  <c r="V64" i="12"/>
  <c r="W64" i="12" s="1"/>
  <c r="X64" i="12" s="1"/>
  <c r="AI64" i="12" s="1"/>
  <c r="N64" i="12"/>
  <c r="O64" i="12" s="1"/>
  <c r="P64" i="12" s="1"/>
  <c r="AH64" i="12" s="1"/>
  <c r="AJ65" i="12"/>
  <c r="AK65" i="12" s="1"/>
  <c r="AL65" i="12" s="1"/>
  <c r="V59" i="12"/>
  <c r="W59" i="12" s="1"/>
  <c r="X59" i="12" s="1"/>
  <c r="AI59" i="12" s="1"/>
  <c r="N59" i="12"/>
  <c r="O59" i="12" s="1"/>
  <c r="P59" i="12" s="1"/>
  <c r="AH59" i="12" s="1"/>
  <c r="N60" i="12"/>
  <c r="O60" i="12" s="1"/>
  <c r="P60" i="12" s="1"/>
  <c r="AH60" i="12" s="1"/>
  <c r="V60" i="12"/>
  <c r="W60" i="12" s="1"/>
  <c r="X60" i="12" s="1"/>
  <c r="AI60" i="12" s="1"/>
  <c r="N61" i="12"/>
  <c r="O61" i="12" s="1"/>
  <c r="P61" i="12" s="1"/>
  <c r="AH61" i="12" s="1"/>
  <c r="V61" i="12"/>
  <c r="W61" i="12" s="1"/>
  <c r="X61" i="12" s="1"/>
  <c r="AI61" i="12" s="1"/>
  <c r="V58" i="12"/>
  <c r="W58" i="12" s="1"/>
  <c r="X58" i="12" s="1"/>
  <c r="AI58" i="12" s="1"/>
  <c r="N58" i="12"/>
  <c r="O58" i="12" s="1"/>
  <c r="P58" i="12" s="1"/>
  <c r="AH58" i="12" s="1"/>
  <c r="V62" i="12"/>
  <c r="W62" i="12" s="1"/>
  <c r="X62" i="12" s="1"/>
  <c r="AI62" i="12" s="1"/>
  <c r="N62" i="12"/>
  <c r="O62" i="12" s="1"/>
  <c r="P62" i="12" s="1"/>
  <c r="AH62" i="12" s="1"/>
  <c r="N55" i="12"/>
  <c r="O55" i="12" s="1"/>
  <c r="P55" i="12" s="1"/>
  <c r="AH55" i="12" s="1"/>
  <c r="V55" i="12"/>
  <c r="W55" i="12" s="1"/>
  <c r="X55" i="12" s="1"/>
  <c r="AI55" i="12" s="1"/>
  <c r="N52" i="12"/>
  <c r="O52" i="12" s="1"/>
  <c r="P52" i="12" s="1"/>
  <c r="AH52" i="12" s="1"/>
  <c r="V52" i="12"/>
  <c r="W52" i="12" s="1"/>
  <c r="X52" i="12" s="1"/>
  <c r="AI52" i="12" s="1"/>
  <c r="V54" i="12"/>
  <c r="W54" i="12" s="1"/>
  <c r="X54" i="12" s="1"/>
  <c r="AI54" i="12" s="1"/>
  <c r="N54" i="12"/>
  <c r="O54" i="12" s="1"/>
  <c r="P54" i="12" s="1"/>
  <c r="AH54" i="12" s="1"/>
  <c r="V56" i="12"/>
  <c r="W56" i="12" s="1"/>
  <c r="X56" i="12" s="1"/>
  <c r="AI56" i="12" s="1"/>
  <c r="N56" i="12"/>
  <c r="O56" i="12" s="1"/>
  <c r="P56" i="12" s="1"/>
  <c r="AH56" i="12" s="1"/>
  <c r="V53" i="12"/>
  <c r="W53" i="12" s="1"/>
  <c r="X53" i="12" s="1"/>
  <c r="AI53" i="12" s="1"/>
  <c r="N53" i="12"/>
  <c r="O53" i="12" s="1"/>
  <c r="P53" i="12" s="1"/>
  <c r="AH53" i="12" s="1"/>
  <c r="N49" i="12"/>
  <c r="O49" i="12" s="1"/>
  <c r="P49" i="12" s="1"/>
  <c r="AH49" i="12" s="1"/>
  <c r="V49" i="12"/>
  <c r="W49" i="12" s="1"/>
  <c r="X49" i="12" s="1"/>
  <c r="AI49" i="12" s="1"/>
  <c r="N48" i="12"/>
  <c r="O48" i="12" s="1"/>
  <c r="P48" i="12" s="1"/>
  <c r="AH48" i="12" s="1"/>
  <c r="V48" i="12"/>
  <c r="W48" i="12" s="1"/>
  <c r="X48" i="12" s="1"/>
  <c r="AI48" i="12" s="1"/>
  <c r="V46" i="12"/>
  <c r="W46" i="12" s="1"/>
  <c r="X46" i="12" s="1"/>
  <c r="AI46" i="12" s="1"/>
  <c r="N46" i="12"/>
  <c r="O46" i="12" s="1"/>
  <c r="P46" i="12" s="1"/>
  <c r="AH46" i="12" s="1"/>
  <c r="V50" i="12"/>
  <c r="W50" i="12" s="1"/>
  <c r="X50" i="12" s="1"/>
  <c r="AI50" i="12" s="1"/>
  <c r="N50" i="12"/>
  <c r="O50" i="12" s="1"/>
  <c r="P50" i="12" s="1"/>
  <c r="AH50" i="12" s="1"/>
  <c r="V47" i="12"/>
  <c r="W47" i="12" s="1"/>
  <c r="X47" i="12" s="1"/>
  <c r="AI47" i="12" s="1"/>
  <c r="N47" i="12"/>
  <c r="O47" i="12" s="1"/>
  <c r="P47" i="12" s="1"/>
  <c r="AH47" i="12" s="1"/>
  <c r="V40" i="12"/>
  <c r="W40" i="12" s="1"/>
  <c r="X40" i="12" s="1"/>
  <c r="AI40" i="12" s="1"/>
  <c r="N40" i="12"/>
  <c r="O40" i="12" s="1"/>
  <c r="P40" i="12" s="1"/>
  <c r="AH40" i="12" s="1"/>
  <c r="N44" i="12"/>
  <c r="O44" i="12" s="1"/>
  <c r="P44" i="12" s="1"/>
  <c r="AH44" i="12" s="1"/>
  <c r="V44" i="12"/>
  <c r="W44" i="12" s="1"/>
  <c r="X44" i="12" s="1"/>
  <c r="AI44" i="12" s="1"/>
  <c r="N43" i="12"/>
  <c r="O43" i="12" s="1"/>
  <c r="P43" i="12" s="1"/>
  <c r="AH43" i="12" s="1"/>
  <c r="V43" i="12"/>
  <c r="W43" i="12" s="1"/>
  <c r="X43" i="12" s="1"/>
  <c r="AI43" i="12" s="1"/>
  <c r="N42" i="12"/>
  <c r="O42" i="12" s="1"/>
  <c r="P42" i="12" s="1"/>
  <c r="AH42" i="12" s="1"/>
  <c r="V42" i="12"/>
  <c r="W42" i="12" s="1"/>
  <c r="X42" i="12" s="1"/>
  <c r="AI42" i="12" s="1"/>
  <c r="V41" i="12"/>
  <c r="W41" i="12" s="1"/>
  <c r="X41" i="12" s="1"/>
  <c r="AI41" i="12" s="1"/>
  <c r="N41" i="12"/>
  <c r="O41" i="12" s="1"/>
  <c r="P41" i="12" s="1"/>
  <c r="AH41" i="12" s="1"/>
  <c r="V35" i="12"/>
  <c r="W35" i="12" s="1"/>
  <c r="X35" i="12" s="1"/>
  <c r="AI35" i="12" s="1"/>
  <c r="N35" i="12"/>
  <c r="O35" i="12" s="1"/>
  <c r="P35" i="12" s="1"/>
  <c r="AH35" i="12" s="1"/>
  <c r="V36" i="12"/>
  <c r="W36" i="12" s="1"/>
  <c r="X36" i="12" s="1"/>
  <c r="AI36" i="12" s="1"/>
  <c r="N36" i="12"/>
  <c r="O36" i="12" s="1"/>
  <c r="P36" i="12" s="1"/>
  <c r="AH36" i="12" s="1"/>
  <c r="V34" i="12"/>
  <c r="W34" i="12" s="1"/>
  <c r="X34" i="12" s="1"/>
  <c r="AI34" i="12" s="1"/>
  <c r="N34" i="12"/>
  <c r="O34" i="12" s="1"/>
  <c r="P34" i="12" s="1"/>
  <c r="AH34" i="12" s="1"/>
  <c r="N37" i="12"/>
  <c r="O37" i="12" s="1"/>
  <c r="P37" i="12" s="1"/>
  <c r="AH37" i="12" s="1"/>
  <c r="V37" i="12"/>
  <c r="W37" i="12" s="1"/>
  <c r="X37" i="12" s="1"/>
  <c r="AI37" i="12" s="1"/>
  <c r="V38" i="12"/>
  <c r="W38" i="12" s="1"/>
  <c r="X38" i="12" s="1"/>
  <c r="AI38" i="12" s="1"/>
  <c r="N38" i="12"/>
  <c r="O38" i="12" s="1"/>
  <c r="P38" i="12" s="1"/>
  <c r="AH38" i="12" s="1"/>
  <c r="N30" i="12"/>
  <c r="O30" i="12" s="1"/>
  <c r="P30" i="12" s="1"/>
  <c r="AH30" i="12" s="1"/>
  <c r="V30" i="12"/>
  <c r="W30" i="12" s="1"/>
  <c r="X30" i="12" s="1"/>
  <c r="AI30" i="12" s="1"/>
  <c r="V32" i="12"/>
  <c r="W32" i="12" s="1"/>
  <c r="X32" i="12" s="1"/>
  <c r="AI32" i="12" s="1"/>
  <c r="N32" i="12"/>
  <c r="O32" i="12" s="1"/>
  <c r="P32" i="12" s="1"/>
  <c r="AH32" i="12" s="1"/>
  <c r="N28" i="12"/>
  <c r="O28" i="12" s="1"/>
  <c r="P28" i="12" s="1"/>
  <c r="AH28" i="12" s="1"/>
  <c r="V28" i="12"/>
  <c r="W28" i="12" s="1"/>
  <c r="X28" i="12" s="1"/>
  <c r="AI28" i="12" s="1"/>
  <c r="V29" i="12"/>
  <c r="W29" i="12" s="1"/>
  <c r="X29" i="12" s="1"/>
  <c r="AI29" i="12" s="1"/>
  <c r="N29" i="12"/>
  <c r="O29" i="12" s="1"/>
  <c r="P29" i="12" s="1"/>
  <c r="AH29" i="12" s="1"/>
  <c r="V31" i="12"/>
  <c r="W31" i="12" s="1"/>
  <c r="X31" i="12" s="1"/>
  <c r="AI31" i="12" s="1"/>
  <c r="V22" i="12"/>
  <c r="W22" i="12" s="1"/>
  <c r="X22" i="12" s="1"/>
  <c r="AI22" i="12" s="1"/>
  <c r="N22" i="12"/>
  <c r="O22" i="12" s="1"/>
  <c r="P22" i="12" s="1"/>
  <c r="AH22" i="12" s="1"/>
  <c r="N24" i="12"/>
  <c r="O24" i="12" s="1"/>
  <c r="P24" i="12" s="1"/>
  <c r="AH24" i="12" s="1"/>
  <c r="V24" i="12"/>
  <c r="W24" i="12" s="1"/>
  <c r="X24" i="12" s="1"/>
  <c r="AI24" i="12" s="1"/>
  <c r="V26" i="12"/>
  <c r="W26" i="12" s="1"/>
  <c r="X26" i="12" s="1"/>
  <c r="AI26" i="12" s="1"/>
  <c r="N26" i="12"/>
  <c r="O26" i="12" s="1"/>
  <c r="P26" i="12" s="1"/>
  <c r="AH26" i="12" s="1"/>
  <c r="AJ26" i="12" s="1"/>
  <c r="AK26" i="12" s="1"/>
  <c r="AL26" i="12" s="1"/>
  <c r="V23" i="12"/>
  <c r="W23" i="12" s="1"/>
  <c r="X23" i="12" s="1"/>
  <c r="AI23" i="12" s="1"/>
  <c r="N23" i="12"/>
  <c r="O23" i="12" s="1"/>
  <c r="P23" i="12" s="1"/>
  <c r="AH23" i="12" s="1"/>
  <c r="N25" i="12"/>
  <c r="O25" i="12" s="1"/>
  <c r="P25" i="12" s="1"/>
  <c r="AH25" i="12" s="1"/>
  <c r="V25" i="12"/>
  <c r="W25" i="12" s="1"/>
  <c r="X25" i="12" s="1"/>
  <c r="AI25" i="12" s="1"/>
  <c r="N20" i="12"/>
  <c r="O20" i="12" s="1"/>
  <c r="P20" i="12" s="1"/>
  <c r="AH20" i="12" s="1"/>
  <c r="V20" i="12"/>
  <c r="W20" i="12" s="1"/>
  <c r="X20" i="12" s="1"/>
  <c r="AI20" i="12" s="1"/>
  <c r="V19" i="12"/>
  <c r="W19" i="12" s="1"/>
  <c r="X19" i="12" s="1"/>
  <c r="AI19" i="12" s="1"/>
  <c r="N19" i="12"/>
  <c r="O19" i="12" s="1"/>
  <c r="P19" i="12" s="1"/>
  <c r="AH19" i="12" s="1"/>
  <c r="N16" i="12"/>
  <c r="O16" i="12" s="1"/>
  <c r="P16" i="12" s="1"/>
  <c r="AH16" i="12" s="1"/>
  <c r="V16" i="12"/>
  <c r="W16" i="12" s="1"/>
  <c r="X16" i="12" s="1"/>
  <c r="AI16" i="12" s="1"/>
  <c r="V18" i="12"/>
  <c r="W18" i="12" s="1"/>
  <c r="X18" i="12" s="1"/>
  <c r="AI18" i="12" s="1"/>
  <c r="N18" i="12"/>
  <c r="O18" i="12" s="1"/>
  <c r="P18" i="12" s="1"/>
  <c r="AH18" i="12" s="1"/>
  <c r="N17" i="12"/>
  <c r="O17" i="12" s="1"/>
  <c r="P17" i="12" s="1"/>
  <c r="AH17" i="12" s="1"/>
  <c r="AJ17" i="12" s="1"/>
  <c r="AK17" i="12" s="1"/>
  <c r="AL17" i="12" s="1"/>
  <c r="M5" i="12"/>
  <c r="M6" i="12"/>
  <c r="M7" i="12"/>
  <c r="M8" i="12"/>
  <c r="M4" i="12"/>
  <c r="G5" i="12"/>
  <c r="H5" i="12" s="1"/>
  <c r="G6" i="12"/>
  <c r="G7" i="12"/>
  <c r="G8" i="12"/>
  <c r="G4" i="12"/>
  <c r="H4" i="12" s="1"/>
  <c r="AJ38" i="12" l="1"/>
  <c r="AK38" i="12" s="1"/>
  <c r="AL38" i="12" s="1"/>
  <c r="AJ74" i="12"/>
  <c r="AK74" i="12" s="1"/>
  <c r="AL74" i="12" s="1"/>
  <c r="AJ22" i="12"/>
  <c r="AK22" i="12" s="1"/>
  <c r="AL22" i="12" s="1"/>
  <c r="AJ71" i="12"/>
  <c r="AK71" i="12" s="1"/>
  <c r="AL71" i="12" s="1"/>
  <c r="AJ84" i="12"/>
  <c r="AK84" i="12" s="1"/>
  <c r="AL84" i="12" s="1"/>
  <c r="AJ83" i="12"/>
  <c r="AK83" i="12" s="1"/>
  <c r="AL83" i="12" s="1"/>
  <c r="AJ80" i="12"/>
  <c r="AK80" i="12" s="1"/>
  <c r="AL80" i="12" s="1"/>
  <c r="AJ77" i="12"/>
  <c r="AK77" i="12" s="1"/>
  <c r="AL77" i="12" s="1"/>
  <c r="AJ76" i="12"/>
  <c r="AK76" i="12" s="1"/>
  <c r="AL76" i="12" s="1"/>
  <c r="AJ56" i="12"/>
  <c r="AK56" i="12" s="1"/>
  <c r="AL56" i="12" s="1"/>
  <c r="AJ50" i="12"/>
  <c r="AK50" i="12" s="1"/>
  <c r="AL50" i="12" s="1"/>
  <c r="AJ46" i="12"/>
  <c r="AK46" i="12" s="1"/>
  <c r="AL46" i="12" s="1"/>
  <c r="AJ36" i="12"/>
  <c r="AK36" i="12" s="1"/>
  <c r="AL36" i="12" s="1"/>
  <c r="AJ35" i="12"/>
  <c r="AK35" i="12" s="1"/>
  <c r="AL35" i="12" s="1"/>
  <c r="AJ32" i="12"/>
  <c r="AK32" i="12" s="1"/>
  <c r="AL32" i="12" s="1"/>
  <c r="AJ19" i="12"/>
  <c r="AK19" i="12" s="1"/>
  <c r="AL19" i="12" s="1"/>
  <c r="AJ18" i="12"/>
  <c r="AK18" i="12" s="1"/>
  <c r="AL18" i="12" s="1"/>
  <c r="AJ44" i="12"/>
  <c r="AK44" i="12" s="1"/>
  <c r="AL44" i="12" s="1"/>
  <c r="AJ41" i="12"/>
  <c r="AK41" i="12" s="1"/>
  <c r="AL41" i="12" s="1"/>
  <c r="AJ40" i="12"/>
  <c r="AK40" i="12" s="1"/>
  <c r="AL40" i="12" s="1"/>
  <c r="AJ54" i="12"/>
  <c r="AK54" i="12" s="1"/>
  <c r="AL54" i="12" s="1"/>
  <c r="AJ58" i="12"/>
  <c r="AK58" i="12" s="1"/>
  <c r="AL58" i="12" s="1"/>
  <c r="AJ64" i="12"/>
  <c r="AK64" i="12" s="1"/>
  <c r="AL64" i="12" s="1"/>
  <c r="AJ34" i="12"/>
  <c r="AK34" i="12" s="1"/>
  <c r="AL34" i="12" s="1"/>
  <c r="AJ49" i="12"/>
  <c r="AK49" i="12" s="1"/>
  <c r="AL49" i="12" s="1"/>
  <c r="AJ94" i="12"/>
  <c r="AK94" i="12" s="1"/>
  <c r="AL94" i="12" s="1"/>
  <c r="AJ23" i="12"/>
  <c r="AK23" i="12" s="1"/>
  <c r="AL23" i="12" s="1"/>
  <c r="AJ60" i="12"/>
  <c r="AK60" i="12" s="1"/>
  <c r="AL60" i="12" s="1"/>
  <c r="AJ95" i="12"/>
  <c r="AK95" i="12" s="1"/>
  <c r="AL95" i="12" s="1"/>
  <c r="AJ68" i="12"/>
  <c r="AK68" i="12" s="1"/>
  <c r="AL68" i="12" s="1"/>
  <c r="AJ88" i="12"/>
  <c r="AK88" i="12" s="1"/>
  <c r="AL88" i="12" s="1"/>
  <c r="AJ31" i="12"/>
  <c r="AK31" i="12" s="1"/>
  <c r="AL31" i="12" s="1"/>
  <c r="AJ96" i="12"/>
  <c r="AK96" i="12" s="1"/>
  <c r="AL96" i="12" s="1"/>
  <c r="AJ97" i="12"/>
  <c r="AK97" i="12" s="1"/>
  <c r="AL97" i="12" s="1"/>
  <c r="AJ98" i="12"/>
  <c r="AK98" i="12" s="1"/>
  <c r="AL98" i="12" s="1"/>
  <c r="AJ89" i="12"/>
  <c r="AK89" i="12" s="1"/>
  <c r="AL89" i="12" s="1"/>
  <c r="AJ90" i="12"/>
  <c r="AK90" i="12" s="1"/>
  <c r="AL90" i="12" s="1"/>
  <c r="AJ91" i="12"/>
  <c r="AK91" i="12" s="1"/>
  <c r="AL91" i="12" s="1"/>
  <c r="AJ82" i="12"/>
  <c r="AK82" i="12" s="1"/>
  <c r="AL82" i="12" s="1"/>
  <c r="AJ85" i="12"/>
  <c r="AK85" i="12" s="1"/>
  <c r="AL85" i="12" s="1"/>
  <c r="AJ79" i="12"/>
  <c r="AK79" i="12" s="1"/>
  <c r="AL79" i="12" s="1"/>
  <c r="AJ78" i="12"/>
  <c r="AK78" i="12" s="1"/>
  <c r="AL78" i="12" s="1"/>
  <c r="AJ72" i="12"/>
  <c r="AK72" i="12" s="1"/>
  <c r="AL72" i="12" s="1"/>
  <c r="AJ66" i="12"/>
  <c r="AK66" i="12" s="1"/>
  <c r="AL66" i="12" s="1"/>
  <c r="AJ67" i="12"/>
  <c r="AK67" i="12" s="1"/>
  <c r="AL67" i="12" s="1"/>
  <c r="AJ61" i="12"/>
  <c r="AK61" i="12" s="1"/>
  <c r="AL61" i="12" s="1"/>
  <c r="AJ62" i="12"/>
  <c r="AK62" i="12" s="1"/>
  <c r="AL62" i="12" s="1"/>
  <c r="AJ59" i="12"/>
  <c r="AK59" i="12" s="1"/>
  <c r="AL59" i="12" s="1"/>
  <c r="AJ52" i="12"/>
  <c r="AK52" i="12" s="1"/>
  <c r="AL52" i="12" s="1"/>
  <c r="AJ53" i="12"/>
  <c r="AK53" i="12" s="1"/>
  <c r="AL53" i="12" s="1"/>
  <c r="AJ55" i="12"/>
  <c r="AK55" i="12" s="1"/>
  <c r="AL55" i="12" s="1"/>
  <c r="AJ48" i="12"/>
  <c r="AK48" i="12" s="1"/>
  <c r="AL48" i="12" s="1"/>
  <c r="AJ47" i="12"/>
  <c r="AK47" i="12" s="1"/>
  <c r="AL47" i="12" s="1"/>
  <c r="AJ43" i="12"/>
  <c r="AK43" i="12" s="1"/>
  <c r="AL43" i="12" s="1"/>
  <c r="AJ42" i="12"/>
  <c r="AK42" i="12" s="1"/>
  <c r="AL42" i="12" s="1"/>
  <c r="AJ37" i="12"/>
  <c r="AK37" i="12" s="1"/>
  <c r="AL37" i="12" s="1"/>
  <c r="AJ28" i="12"/>
  <c r="AK28" i="12" s="1"/>
  <c r="AL28" i="12" s="1"/>
  <c r="AJ29" i="12"/>
  <c r="AK29" i="12" s="1"/>
  <c r="AL29" i="12" s="1"/>
  <c r="AJ30" i="12"/>
  <c r="AK30" i="12" s="1"/>
  <c r="AL30" i="12" s="1"/>
  <c r="AJ24" i="12"/>
  <c r="AK24" i="12" s="1"/>
  <c r="AL24" i="12" s="1"/>
  <c r="AJ25" i="12"/>
  <c r="AK25" i="12" s="1"/>
  <c r="AL25" i="12" s="1"/>
  <c r="AJ16" i="12"/>
  <c r="AK16" i="12" s="1"/>
  <c r="AL16" i="12" s="1"/>
  <c r="AJ20" i="12"/>
  <c r="AK20" i="12" s="1"/>
  <c r="AL20" i="12" s="1"/>
  <c r="H6" i="12"/>
  <c r="N6" i="12" s="1"/>
  <c r="H7" i="12"/>
  <c r="V7" i="12" s="1"/>
  <c r="W7" i="12" s="1"/>
  <c r="X7" i="12" s="1"/>
  <c r="AI7" i="12" s="1"/>
  <c r="H8" i="12"/>
  <c r="V8" i="12" s="1"/>
  <c r="W8" i="12" s="1"/>
  <c r="X8" i="12" s="1"/>
  <c r="AI8" i="12" s="1"/>
  <c r="N8" i="12"/>
  <c r="N5" i="12"/>
  <c r="O5" i="12" s="1"/>
  <c r="P5" i="12" s="1"/>
  <c r="AH5" i="12" s="1"/>
  <c r="AJ5" i="12" s="1"/>
  <c r="AK5" i="12" s="1"/>
  <c r="AL5" i="12" s="1"/>
  <c r="V5" i="12"/>
  <c r="W5" i="12" s="1"/>
  <c r="X5" i="12" s="1"/>
  <c r="AI5" i="12" s="1"/>
  <c r="V4" i="12"/>
  <c r="W4" i="12" s="1"/>
  <c r="X4" i="12" s="1"/>
  <c r="AI4" i="12" s="1"/>
  <c r="O4" i="12"/>
  <c r="P4" i="12" s="1"/>
  <c r="AH4" i="12" s="1"/>
  <c r="N7" i="12"/>
  <c r="O7" i="12" s="1"/>
  <c r="P7" i="12" s="1"/>
  <c r="AH7" i="12" s="1"/>
  <c r="O6" i="12"/>
  <c r="P6" i="12" s="1"/>
  <c r="AH6" i="12" s="1"/>
  <c r="O8" i="12"/>
  <c r="P8" i="12" s="1"/>
  <c r="AH8" i="12" s="1"/>
  <c r="AJ7" i="12" l="1"/>
  <c r="AK7" i="12" s="1"/>
  <c r="AL7" i="12" s="1"/>
  <c r="AJ8" i="12"/>
  <c r="AK8" i="12" s="1"/>
  <c r="AL8" i="12" s="1"/>
  <c r="V6" i="12"/>
  <c r="W6" i="12" s="1"/>
  <c r="X6" i="12" s="1"/>
  <c r="AI6" i="12" s="1"/>
  <c r="AJ6" i="12" s="1"/>
  <c r="AK6" i="12" s="1"/>
  <c r="AL6" i="12" s="1"/>
  <c r="AJ4" i="12"/>
  <c r="AK4" i="12" s="1"/>
  <c r="AL4" i="12" s="1"/>
  <c r="J28" i="3" l="1"/>
  <c r="K28" i="3" s="1"/>
  <c r="I28" i="3"/>
  <c r="H28" i="3"/>
  <c r="J27" i="3"/>
  <c r="K27" i="3" s="1"/>
  <c r="I27" i="3"/>
  <c r="L27" i="3" s="1"/>
  <c r="M27" i="3" s="1"/>
  <c r="N27" i="3" s="1"/>
  <c r="H27" i="3"/>
  <c r="J26" i="3"/>
  <c r="K26" i="3" s="1"/>
  <c r="H26" i="3"/>
  <c r="I26" i="3" s="1"/>
  <c r="L26" i="3" s="1"/>
  <c r="M26" i="3" s="1"/>
  <c r="N26" i="3" s="1"/>
  <c r="J25" i="3"/>
  <c r="K25" i="3" s="1"/>
  <c r="H25" i="3"/>
  <c r="I25" i="3" s="1"/>
  <c r="L25" i="3" s="1"/>
  <c r="M25" i="3" s="1"/>
  <c r="N25" i="3" s="1"/>
  <c r="J24" i="3"/>
  <c r="K24" i="3" s="1"/>
  <c r="H24" i="3"/>
  <c r="I24" i="3" s="1"/>
  <c r="L24" i="3" s="1"/>
  <c r="M24" i="3" s="1"/>
  <c r="N24" i="3" s="1"/>
  <c r="J23" i="3"/>
  <c r="K23" i="3" s="1"/>
  <c r="H23" i="3"/>
  <c r="I23" i="3" s="1"/>
  <c r="L23" i="3" s="1"/>
  <c r="M23" i="3" s="1"/>
  <c r="N23" i="3" s="1"/>
  <c r="K22" i="3"/>
  <c r="J22" i="3"/>
  <c r="H22" i="3"/>
  <c r="I22" i="3" s="1"/>
  <c r="L22" i="3" s="1"/>
  <c r="M22" i="3" s="1"/>
  <c r="N22" i="3" s="1"/>
  <c r="K21" i="3"/>
  <c r="J21" i="3"/>
  <c r="H21" i="3"/>
  <c r="I21" i="3" s="1"/>
  <c r="L21" i="3" s="1"/>
  <c r="M21" i="3" s="1"/>
  <c r="N21" i="3" s="1"/>
  <c r="J20" i="3"/>
  <c r="K20" i="3" s="1"/>
  <c r="I20" i="3"/>
  <c r="L20" i="3" s="1"/>
  <c r="M20" i="3" s="1"/>
  <c r="N20" i="3" s="1"/>
  <c r="H20" i="3"/>
  <c r="J19" i="3"/>
  <c r="K19" i="3" s="1"/>
  <c r="I19" i="3"/>
  <c r="H19" i="3"/>
  <c r="J18" i="3"/>
  <c r="K18" i="3" s="1"/>
  <c r="H18" i="3"/>
  <c r="I18" i="3" s="1"/>
  <c r="L18" i="3" s="1"/>
  <c r="M18" i="3" s="1"/>
  <c r="N18" i="3" s="1"/>
  <c r="J17" i="3"/>
  <c r="K17" i="3" s="1"/>
  <c r="H17" i="3"/>
  <c r="I17" i="3" s="1"/>
  <c r="L17" i="3" s="1"/>
  <c r="M17" i="3" s="1"/>
  <c r="N17" i="3" s="1"/>
  <c r="J16" i="3"/>
  <c r="K16" i="3" s="1"/>
  <c r="H16" i="3"/>
  <c r="I16" i="3" s="1"/>
  <c r="L16" i="3" s="1"/>
  <c r="M16" i="3" s="1"/>
  <c r="N16" i="3" s="1"/>
  <c r="J15" i="3"/>
  <c r="K15" i="3" s="1"/>
  <c r="H15" i="3"/>
  <c r="I15" i="3" s="1"/>
  <c r="K14" i="3"/>
  <c r="J14" i="3"/>
  <c r="H14" i="3"/>
  <c r="I14" i="3" s="1"/>
  <c r="L14" i="3" s="1"/>
  <c r="M14" i="3" s="1"/>
  <c r="N14" i="3" s="1"/>
  <c r="K13" i="3"/>
  <c r="J13" i="3"/>
  <c r="H13" i="3"/>
  <c r="I13" i="3" s="1"/>
  <c r="L13" i="3" s="1"/>
  <c r="M13" i="3" s="1"/>
  <c r="N13" i="3" s="1"/>
  <c r="J12" i="3"/>
  <c r="K12" i="3" s="1"/>
  <c r="I12" i="3"/>
  <c r="H12" i="3"/>
  <c r="J11" i="3"/>
  <c r="K11" i="3" s="1"/>
  <c r="I11" i="3"/>
  <c r="L11" i="3" s="1"/>
  <c r="M11" i="3" s="1"/>
  <c r="N11" i="3" s="1"/>
  <c r="H11" i="3"/>
  <c r="J10" i="3"/>
  <c r="K10" i="3" s="1"/>
  <c r="H10" i="3"/>
  <c r="I10" i="3" s="1"/>
  <c r="L10" i="3" s="1"/>
  <c r="M10" i="3" s="1"/>
  <c r="N10" i="3" s="1"/>
  <c r="J9" i="3"/>
  <c r="K9" i="3" s="1"/>
  <c r="H9" i="3"/>
  <c r="I9" i="3" s="1"/>
  <c r="J8" i="3"/>
  <c r="K8" i="3" s="1"/>
  <c r="H8" i="3"/>
  <c r="I8" i="3" s="1"/>
  <c r="L8" i="3" s="1"/>
  <c r="M8" i="3" s="1"/>
  <c r="N8" i="3" s="1"/>
  <c r="J7" i="3"/>
  <c r="K7" i="3" s="1"/>
  <c r="H7" i="3"/>
  <c r="I7" i="3" s="1"/>
  <c r="L7" i="3" s="1"/>
  <c r="M7" i="3" s="1"/>
  <c r="N7" i="3" s="1"/>
  <c r="K6" i="3"/>
  <c r="J6" i="3"/>
  <c r="H6" i="3"/>
  <c r="I6" i="3" s="1"/>
  <c r="L6" i="3" s="1"/>
  <c r="M6" i="3" s="1"/>
  <c r="N6" i="3" s="1"/>
  <c r="K5" i="3"/>
  <c r="L5" i="3" s="1"/>
  <c r="M5" i="3" s="1"/>
  <c r="N5" i="3" s="1"/>
  <c r="J5" i="3"/>
  <c r="I5" i="3"/>
  <c r="J4" i="3"/>
  <c r="K4" i="3" s="1"/>
  <c r="I4" i="3"/>
  <c r="L4" i="3" s="1"/>
  <c r="M4" i="3" s="1"/>
  <c r="N4" i="3" s="1"/>
  <c r="J3" i="3"/>
  <c r="K3" i="3" s="1"/>
  <c r="I3" i="3"/>
  <c r="L3" i="3" s="1"/>
  <c r="M3" i="3" s="1"/>
  <c r="N3" i="3" s="1"/>
  <c r="L9" i="3" l="1"/>
  <c r="M9" i="3" s="1"/>
  <c r="N9" i="3" s="1"/>
  <c r="L12" i="3"/>
  <c r="M12" i="3" s="1"/>
  <c r="N12" i="3" s="1"/>
  <c r="L15" i="3"/>
  <c r="M15" i="3" s="1"/>
  <c r="N15" i="3" s="1"/>
  <c r="L28" i="3"/>
  <c r="M28" i="3" s="1"/>
  <c r="N28" i="3" s="1"/>
  <c r="L19" i="3"/>
  <c r="M19" i="3" s="1"/>
  <c r="N1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tc={E8D368A5-C655-4C1E-9B5B-ECB9730F2D57}</author>
  </authors>
  <commentList>
    <comment ref="A3" authorId="0" shapeId="0" xr:uid="{E8D368A5-C655-4C1E-9B5B-ECB9730F2D57}">
      <text>
        <t>[Threaded comment]
Your version of Excel allows you to read this threaded comment; however, any edits to it will get removed if the file is opened in a newer version of Excel. Learn more: https://go.microsoft.com/fwlink/?linkid=870924
Comment:
    Material are listed in order of logarithmic particle size mean (ф)</t>
      </text>
    </comment>
  </commentList>
</comments>
</file>

<file path=xl/sharedStrings.xml><?xml version="1.0" encoding="utf-8"?>
<sst xmlns="http://schemas.openxmlformats.org/spreadsheetml/2006/main" count="624" uniqueCount="378">
  <si>
    <t xml:space="preserve">Material </t>
  </si>
  <si>
    <t>Moisture (%)</t>
  </si>
  <si>
    <t>Experiment Type</t>
  </si>
  <si>
    <t xml:space="preserve">Cornstarch </t>
  </si>
  <si>
    <t>Tungurahua 1</t>
  </si>
  <si>
    <t>Colima</t>
  </si>
  <si>
    <t xml:space="preserve">Atitlan </t>
  </si>
  <si>
    <t>Ballotini 1</t>
  </si>
  <si>
    <t>Tungurahua 2</t>
  </si>
  <si>
    <t>Tungurahua 3</t>
  </si>
  <si>
    <t>Milos</t>
  </si>
  <si>
    <t>Tungurahua 4</t>
  </si>
  <si>
    <t xml:space="preserve">Fine Sand </t>
  </si>
  <si>
    <t>Taupo 2</t>
  </si>
  <si>
    <t>Taupo 1</t>
  </si>
  <si>
    <t>Industrial Pumice</t>
  </si>
  <si>
    <t>Ballotini 2</t>
  </si>
  <si>
    <t>Tungurahua 5</t>
  </si>
  <si>
    <t>Tungurahua 6</t>
  </si>
  <si>
    <t>-</t>
  </si>
  <si>
    <t xml:space="preserve">Hausner Ratio </t>
  </si>
  <si>
    <t>Carr Index</t>
  </si>
  <si>
    <r>
      <t>SAoR (</t>
    </r>
    <r>
      <rPr>
        <sz val="11"/>
        <color theme="1"/>
        <rFont val="Calibri"/>
        <family val="2"/>
      </rPr>
      <t>°)</t>
    </r>
  </si>
  <si>
    <t>DAoR (°)</t>
  </si>
  <si>
    <t>SAoR (°)</t>
  </si>
  <si>
    <t xml:space="preserve">Loose Bulk Density (kg m-3) </t>
  </si>
  <si>
    <t>Tapped Bulk Density (kg m-3)</t>
  </si>
  <si>
    <t>1468 (SD=0.01)</t>
  </si>
  <si>
    <t>1517 (SD= 7.1 × 10-5)</t>
  </si>
  <si>
    <t>1111 (SD= NA)</t>
  </si>
  <si>
    <t>1333 (SD= NA)</t>
  </si>
  <si>
    <t>877 (SD= NA)</t>
  </si>
  <si>
    <t>1316 (SD= NA)</t>
  </si>
  <si>
    <t>877 (SD=NA)</t>
  </si>
  <si>
    <t>1333 (SD=NA)</t>
  </si>
  <si>
    <t>893 (SD=NA)</t>
  </si>
  <si>
    <t>1408 (SD=NA)</t>
  </si>
  <si>
    <t>1564 (SD= 0 )</t>
  </si>
  <si>
    <t>1564 (SD=2.2 × 10-16)</t>
  </si>
  <si>
    <t>1429 (SD=NA)</t>
  </si>
  <si>
    <t>1667 (SD=NA)</t>
  </si>
  <si>
    <t>1471 (SD=NA)</t>
  </si>
  <si>
    <t>1613 (SD=NA)</t>
  </si>
  <si>
    <t>1449 (SD=NA)</t>
  </si>
  <si>
    <t>1351 (SD=0 )</t>
  </si>
  <si>
    <t>1477 (SD= 1 x 10-2 )</t>
  </si>
  <si>
    <t>1029 (SD=0.04 )</t>
  </si>
  <si>
    <t>1205 (SD=0.01)</t>
  </si>
  <si>
    <t>1025 (SD=0.03)</t>
  </si>
  <si>
    <t>1205 (SD=0.02)</t>
  </si>
  <si>
    <t>996 (SD=0.05 )</t>
  </si>
  <si>
    <t>1172 (SD=0.02 )</t>
  </si>
  <si>
    <t>867 (SD=0.01)</t>
  </si>
  <si>
    <t>1146 (SD=0.03)</t>
  </si>
  <si>
    <t>533 (SD=0.00 )</t>
  </si>
  <si>
    <t>730 (SD= 0.00)</t>
  </si>
  <si>
    <t>526 (SD=0.00 )</t>
  </si>
  <si>
    <t>735 (SD=0.00 )</t>
  </si>
  <si>
    <t>725 (SD=0.00 )</t>
  </si>
  <si>
    <t>521 (SD=0.01 )</t>
  </si>
  <si>
    <t>694 (SD=0.01 )</t>
  </si>
  <si>
    <t>526 (SD=0.01 )</t>
  </si>
  <si>
    <t>709 (SD=0.02 )</t>
  </si>
  <si>
    <t>1310 (SD=0.05 )</t>
  </si>
  <si>
    <t>1420 (SD=0.02 )</t>
  </si>
  <si>
    <t>1014 (SD=0.01 )</t>
  </si>
  <si>
    <t>1346 (SD=0.03 )</t>
  </si>
  <si>
    <t>1042 (SD=0.04 )</t>
  </si>
  <si>
    <t>1327 (SD=0.02 )</t>
  </si>
  <si>
    <t>748 (SD=0.01)</t>
  </si>
  <si>
    <t>1103 (SD=0.01)</t>
  </si>
  <si>
    <t>758 (SD=0.01)</t>
  </si>
  <si>
    <t>1049 (SD=0.01)</t>
  </si>
  <si>
    <t>845 (SD=0.01)</t>
  </si>
  <si>
    <t>1190 (SD=0.01)</t>
  </si>
  <si>
    <t>865 (SD=0.02)</t>
  </si>
  <si>
    <t>1210 (SD=0.03)</t>
  </si>
  <si>
    <t>1320 (SD=0)</t>
  </si>
  <si>
    <t>1550 (SD=0.01)</t>
  </si>
  <si>
    <t>1055 (SD=0.08)</t>
  </si>
  <si>
    <t>1235 (SD=0.03)</t>
  </si>
  <si>
    <t>944 (SD=0.01)</t>
  </si>
  <si>
    <t>1133 (SD=0.03)</t>
  </si>
  <si>
    <t>1380 (SD=0.01)</t>
  </si>
  <si>
    <t>1610 (SD=0.00)</t>
  </si>
  <si>
    <t>1320 (SD=0.03)</t>
  </si>
  <si>
    <t>1420 (SD=0.02)</t>
  </si>
  <si>
    <t>864 (SD=0.00 )</t>
  </si>
  <si>
    <t>937 (SD= 0.00)</t>
  </si>
  <si>
    <t>756 (SD=0.01)</t>
  </si>
  <si>
    <t>1006 (SD=0.13)</t>
  </si>
  <si>
    <t>661 (SD=0.00)</t>
  </si>
  <si>
    <t>829 (SD=0.00)</t>
  </si>
  <si>
    <t>555 (SD=0.01 )</t>
  </si>
  <si>
    <t>679 (SD=0.01)</t>
  </si>
  <si>
    <t>505 (SD=NA)</t>
  </si>
  <si>
    <t>621 (SD=NA)</t>
  </si>
  <si>
    <t>500 (SD=NA)</t>
  </si>
  <si>
    <t>592 (SD=NA)</t>
  </si>
  <si>
    <t>595 (SD=NA)</t>
  </si>
  <si>
    <t>493 (SD=NA)</t>
  </si>
  <si>
    <t>1280 (SD=0.00)</t>
  </si>
  <si>
    <t>1440 (SD=0.02)</t>
  </si>
  <si>
    <t>1196 (SD=NA)</t>
  </si>
  <si>
    <t>1316 (SD=NA)</t>
  </si>
  <si>
    <t>1163 (SD=NA)</t>
  </si>
  <si>
    <t>1230 (SD=NA)</t>
  </si>
  <si>
    <t>1370 (SD=0.03)</t>
  </si>
  <si>
    <t>1180 (SD=0.03)</t>
  </si>
  <si>
    <t>862 (SD=NA)</t>
  </si>
  <si>
    <t>1087 (SD=NA)</t>
  </si>
  <si>
    <t>758 (SD=NA)</t>
  </si>
  <si>
    <t>1020 (SD=NA)</t>
  </si>
  <si>
    <t>746 (SD=NA)</t>
  </si>
  <si>
    <t>1064 (SD=NA)</t>
  </si>
  <si>
    <t>725 (SD=NA)</t>
  </si>
  <si>
    <t>1042 (SD=NA)</t>
  </si>
  <si>
    <t>1115 (SD=0.02)</t>
  </si>
  <si>
    <t>1485 (SD=0.01)</t>
  </si>
  <si>
    <t>840 (SD=NA)</t>
  </si>
  <si>
    <t>1124 (SD=NA)</t>
  </si>
  <si>
    <t>769 (SD=NA)</t>
  </si>
  <si>
    <t>1136 (SD=NA)</t>
  </si>
  <si>
    <t>835 (SD=0.00)</t>
  </si>
  <si>
    <t>1056 (SD=0.01)</t>
  </si>
  <si>
    <t>781 (SD=NA)</t>
  </si>
  <si>
    <t>909 (SD=NA)</t>
  </si>
  <si>
    <t>714 (SD=NA)</t>
  </si>
  <si>
    <t>667 (SD=NA)</t>
  </si>
  <si>
    <t>794 (SD=NA)</t>
  </si>
  <si>
    <t>804 (SD=0.01)</t>
  </si>
  <si>
    <t>920 (SD=0.01)</t>
  </si>
  <si>
    <t>575 (SD=NA)</t>
  </si>
  <si>
    <t>495 (SD=NA)</t>
  </si>
  <si>
    <t>426 (SD=NA)</t>
  </si>
  <si>
    <t>400 (SD=NA)</t>
  </si>
  <si>
    <t>617 (SD=NA)</t>
  </si>
  <si>
    <t>642 (SD=0.01)</t>
  </si>
  <si>
    <t>795 (SD= 0.01</t>
  </si>
  <si>
    <t>1064 (SD=0.01)</t>
  </si>
  <si>
    <t>1282 (SD=0.00)</t>
  </si>
  <si>
    <t>1351 (SD=NA)</t>
  </si>
  <si>
    <t>926 (SD=NA)</t>
  </si>
  <si>
    <t>1190 (SD=NA)</t>
  </si>
  <si>
    <t>1111 (SD=NA)</t>
  </si>
  <si>
    <t>1000 (SD=0.03)</t>
  </si>
  <si>
    <t>1163 (SD=0.02)</t>
  </si>
  <si>
    <t>1000 (SD=NA)</t>
  </si>
  <si>
    <t>676 (SD=NA)</t>
  </si>
  <si>
    <t>758 (SD=0.00)</t>
  </si>
  <si>
    <t>962 (SD=0.00)</t>
  </si>
  <si>
    <t>1111 (SD=0.03)</t>
  </si>
  <si>
    <t>1282 (SD=0.03)</t>
  </si>
  <si>
    <t>1389 (SD=NA)</t>
  </si>
  <si>
    <t>806 (SD=NA)</t>
  </si>
  <si>
    <t>17.93 (SD=0.41)</t>
  </si>
  <si>
    <t>18.79 (SD=0.42)</t>
  </si>
  <si>
    <t>30.42 (SD=0.89)</t>
  </si>
  <si>
    <t>29.71 (SD=0.76)</t>
  </si>
  <si>
    <t>32.18 (SD=1.05)</t>
  </si>
  <si>
    <t>29.71 (SD=0.91)</t>
  </si>
  <si>
    <t>30.27 (SD=1.84)</t>
  </si>
  <si>
    <t>28.66 (SD=0.53)</t>
  </si>
  <si>
    <t>32.0 (SD=1.67)</t>
  </si>
  <si>
    <t>29.57 (SD=0.56)</t>
  </si>
  <si>
    <t>42.54 (SD=2.64)</t>
  </si>
  <si>
    <t>38.5 (SD=3.11)</t>
  </si>
  <si>
    <t>33.51 (SD=1.70)</t>
  </si>
  <si>
    <t>37.7 (SD =1.51)</t>
  </si>
  <si>
    <t>43.31 (SD=2.76)</t>
  </si>
  <si>
    <t>28.431 (SD=0.65)</t>
  </si>
  <si>
    <t>54 (SD=2.72)</t>
  </si>
  <si>
    <t>50.7 (SD=2.70)</t>
  </si>
  <si>
    <t>43.84 (SD=3.26)</t>
  </si>
  <si>
    <t>44.87 (SD=4.83)</t>
  </si>
  <si>
    <t>45.73 (SD=5.28)</t>
  </si>
  <si>
    <t>40 (SD=3.05)</t>
  </si>
  <si>
    <t>36.6 (SD=2.41)</t>
  </si>
  <si>
    <t>44.55 (SD=2.85)</t>
  </si>
  <si>
    <t>43.5 (SD=0.79)</t>
  </si>
  <si>
    <t>38.06 (SD=1.46)</t>
  </si>
  <si>
    <t>47.077 (SD=1.97)</t>
  </si>
  <si>
    <t>43.39 (SD=1.27)</t>
  </si>
  <si>
    <t>43.16 (SD=1.92)</t>
  </si>
  <si>
    <t>44.16 (SD=1.68)</t>
  </si>
  <si>
    <t>48.8 (SD=1.23)</t>
  </si>
  <si>
    <t>31.9 (SD=1.09)</t>
  </si>
  <si>
    <t>54.19 (SD=1.44)</t>
  </si>
  <si>
    <t>50.53 (SD=2.62)</t>
  </si>
  <si>
    <t>53.5 (SD=2.01)</t>
  </si>
  <si>
    <t>54.5 (SD=5.77)</t>
  </si>
  <si>
    <t>52.335 (SD=0.74)</t>
  </si>
  <si>
    <t>48 (SD=2.00)</t>
  </si>
  <si>
    <t>37.9 (SD=2.49)</t>
  </si>
  <si>
    <t>50.29 (SD=1.28)</t>
  </si>
  <si>
    <t>44.5 (SD=1.54)</t>
  </si>
  <si>
    <t>36.37 (SD=1.22)</t>
  </si>
  <si>
    <t>49.75 (SD=2.46)</t>
  </si>
  <si>
    <t>42.69 (SD=1.50)</t>
  </si>
  <si>
    <t>38.188 (SD=1.20)</t>
  </si>
  <si>
    <t>45.65 (SD=0.62)</t>
  </si>
  <si>
    <t>47.98 (SD=0.98)</t>
  </si>
  <si>
    <t>36.14 (SD=3.57)</t>
  </si>
  <si>
    <t>55 (SD=1.30)</t>
  </si>
  <si>
    <t>53.4 (SD=0.74)</t>
  </si>
  <si>
    <t>54.99 (SD=0.40)</t>
  </si>
  <si>
    <t>54.7 (SD=1.19)</t>
  </si>
  <si>
    <t>55.02 (SD=0.14)</t>
  </si>
  <si>
    <t>49.06 (SD=1.92)</t>
  </si>
  <si>
    <t>43.75 (SD=4.30)</t>
  </si>
  <si>
    <t>56.03 (SD=1.10)</t>
  </si>
  <si>
    <t>55 (SD=3.36)</t>
  </si>
  <si>
    <t>40.46 (SD=1.55)</t>
  </si>
  <si>
    <t>58.45 (SD=1.12)</t>
  </si>
  <si>
    <t>51.45 (SD=1.04)</t>
  </si>
  <si>
    <t>41.979 (SD=1.35)</t>
  </si>
  <si>
    <t>47.89 (SD=4.73)</t>
  </si>
  <si>
    <t>50.98 (SD=0.58)</t>
  </si>
  <si>
    <t>50.95 (SD=1.42)</t>
  </si>
  <si>
    <t>53.459 (SD=1.28)</t>
  </si>
  <si>
    <t>52 (SD=1.23)</t>
  </si>
  <si>
    <t>54.625 (SD=1.44)</t>
  </si>
  <si>
    <t>53.84 (SD=0.92)</t>
  </si>
  <si>
    <t>54.24 (SD=1.82)</t>
  </si>
  <si>
    <t>52.11 (SD=0.15)</t>
  </si>
  <si>
    <t>52.14 (SD=1.26)</t>
  </si>
  <si>
    <t>57.19 (SD=2.13)</t>
  </si>
  <si>
    <t>55.57 (SD=0.97)</t>
  </si>
  <si>
    <t>44.5 (SD=0.40)</t>
  </si>
  <si>
    <t>59.6 (SD=1.10)</t>
  </si>
  <si>
    <t>56.4 (SD=1.36)</t>
  </si>
  <si>
    <t>47.66 (SD=2.00)</t>
  </si>
  <si>
    <t>49.11 (SD=1.56)</t>
  </si>
  <si>
    <t>51.1 (SD=1.06)</t>
  </si>
  <si>
    <t>55.2 (SD=1.20)</t>
  </si>
  <si>
    <t>62 (SD=5.82)</t>
  </si>
  <si>
    <t>60 (SD=2.56)</t>
  </si>
  <si>
    <t>73 (SD=1.77)</t>
  </si>
  <si>
    <t>49 (SD=1.28)</t>
  </si>
  <si>
    <t>65 (SD=3.32)</t>
  </si>
  <si>
    <t>NA = BTD/DAoR experiments were conducted for a representative subset of the entire suite of experiments. Due to time constraints, it was not feasible to perform repetitions for all experiments within the suite</t>
  </si>
  <si>
    <t>56 (SD=0.80)</t>
  </si>
  <si>
    <t>62 (SD=2.20)</t>
  </si>
  <si>
    <t>78 (SD=2.20)</t>
  </si>
  <si>
    <t>53 (SD=4.75)</t>
  </si>
  <si>
    <t>72 (SD=6.64)</t>
  </si>
  <si>
    <t>69 (SD=6.39)</t>
  </si>
  <si>
    <t>67 (SD=11.81)</t>
  </si>
  <si>
    <t>62 (SD=3.29)</t>
  </si>
  <si>
    <t>90 (SD=12.27)</t>
  </si>
  <si>
    <t>88 (SD=14.95)</t>
  </si>
  <si>
    <t>65 (SD=NA)</t>
  </si>
  <si>
    <t>72 (SD=NA)</t>
  </si>
  <si>
    <t>50 (SD=NA)</t>
  </si>
  <si>
    <t>55 (SD=NA)</t>
  </si>
  <si>
    <t>68 (SD=4.58)</t>
  </si>
  <si>
    <t>64 (SD=4.32)</t>
  </si>
  <si>
    <t>62 (SD=11.20)</t>
  </si>
  <si>
    <t>68 (SD=4.90)</t>
  </si>
  <si>
    <t>58 (SD=7.91)</t>
  </si>
  <si>
    <t>54 (SD=NA)</t>
  </si>
  <si>
    <t>49 (SD=NA)</t>
  </si>
  <si>
    <t>63 (SD=NA)</t>
  </si>
  <si>
    <t>53 (SD=NA)</t>
  </si>
  <si>
    <t>66 (SD=0.71)</t>
  </si>
  <si>
    <t>58 (SD=1.12)</t>
  </si>
  <si>
    <t>59 (SD=2.50)</t>
  </si>
  <si>
    <t>46 (SD=2.47)</t>
  </si>
  <si>
    <t>51 (SD=1.97)</t>
  </si>
  <si>
    <t>65 (SD=3.87)</t>
  </si>
  <si>
    <t>68 (SD=3.12)</t>
  </si>
  <si>
    <t>51 (SD=3.36)</t>
  </si>
  <si>
    <t>54 (SD=4.29)</t>
  </si>
  <si>
    <t>54 (SD=6.01)</t>
  </si>
  <si>
    <t>32 (SD=1.00)</t>
  </si>
  <si>
    <t>32 (SD=0.52)</t>
  </si>
  <si>
    <t>39 (SD=0.92)</t>
  </si>
  <si>
    <t>41 (SD=1.10)</t>
  </si>
  <si>
    <t>43 (SD=1.40)</t>
  </si>
  <si>
    <t>39 (SD=2.56)</t>
  </si>
  <si>
    <t>40 (SD=1.17)</t>
  </si>
  <si>
    <t>39 (SD=0.13)</t>
  </si>
  <si>
    <t>42 (SD=1.14)</t>
  </si>
  <si>
    <t>49 (SD=1.98)</t>
  </si>
  <si>
    <t>46 (SD=NA)</t>
  </si>
  <si>
    <t>45 (SD=NA)</t>
  </si>
  <si>
    <t>52 (SD=NA)</t>
  </si>
  <si>
    <t>59 (SD=NA)</t>
  </si>
  <si>
    <t>48 (SD=NA)</t>
  </si>
  <si>
    <t>61 (SD=NA)</t>
  </si>
  <si>
    <t>43 (SD=NA)</t>
  </si>
  <si>
    <t>51 (SD=NA)</t>
  </si>
  <si>
    <t>56 (SD=NA)</t>
  </si>
  <si>
    <t>47 (SD=NA)</t>
  </si>
  <si>
    <t>Total Uncertainty</t>
  </si>
  <si>
    <t>Water (wt.%)</t>
  </si>
  <si>
    <t>Experiments</t>
  </si>
  <si>
    <t>Mass of Material (g)</t>
  </si>
  <si>
    <t>Uncertainty Material  (g)</t>
  </si>
  <si>
    <t>Mass of Water (g)</t>
  </si>
  <si>
    <t>Uncertainty Water (g)</t>
  </si>
  <si>
    <t>Uncertainty water/ Mass of water</t>
  </si>
  <si>
    <t>^2</t>
  </si>
  <si>
    <t>Uncertainty material/Mass of material</t>
  </si>
  <si>
    <t>Add together</t>
  </si>
  <si>
    <t>Square root</t>
  </si>
  <si>
    <t>Uncertainty (%)</t>
  </si>
  <si>
    <t>BTD, AoR, Drop Tests</t>
  </si>
  <si>
    <t xml:space="preserve">Fluidisation, Shear Tests </t>
  </si>
  <si>
    <t>Flume Experiments – Hopper and dry substrate</t>
  </si>
  <si>
    <t>BTD, AoR</t>
  </si>
  <si>
    <t>Fluidisation, Shear Tests</t>
  </si>
  <si>
    <t>Flume Experiments – Wet substrate</t>
  </si>
  <si>
    <t>Drop Tests</t>
  </si>
  <si>
    <t xml:space="preserve">Throughout all experiments a scale (0.01 g resolution) was used to measure the material being used and the addition of moisture added, by weight percentage, to the material. Here the resolution of the scale and propagation of error have been recorded and calculated. </t>
  </si>
  <si>
    <t xml:space="preserve">Hand sieving </t>
  </si>
  <si>
    <t xml:space="preserve">The sieving process was conducted using ISO calibrated sieves (calibration error of ±3.6 microns). The analysis was performed manually, with standard sieving technique followed. It should be noted that volcanic particles, particularly those of elongated or needle-like shapes, may have passed through sieve openings due to particle orientation, and soft particles like pumice may have undergone abrasion or breakage during sieving, which could affect the particle size distribution. As a result, the uncertainty in the particle size measurement is estimated to be ±3.6 microns due to sieve calibration, with an additional unknown variability due to material properties and operator handling. The error for a 2 mm sieve is therefore 0.18 %. </t>
  </si>
  <si>
    <t>CamSizer</t>
  </si>
  <si>
    <t xml:space="preserve">he CAMSIZER X2 provides particle size and shape information of materials that range from 0.8 µm to 8 mm (highest resolution 0.8 μm/pixel) (Buckland et al., 2021; Liang and Yang, 2023). Uncertainty and error using the CamSizer can arise from calibration, shape and size dependent errors (such as irregular particle orientation), environmental temperatures (such as humidity inducing clumping), large size ranges (i.e., out of the size range of 0.8 um to 8 mm) and sample preparation (Buckland et al., 2021). The error calculated from the CamSizer will propagate to the Sauter Mean Diameter and Fines Content calculations. The reproducibility error is &lt; 0.8 % when more than 100,000 grains are detected (Liang and Yang, 2023). </t>
  </si>
  <si>
    <t xml:space="preserve">References </t>
  </si>
  <si>
    <t>Hannah M. Buckland, Jennifer Saxby, Matt Roche, Phoebe Meredith, Alison C. Rust, Katharine V. Cashman, Samantha L. Engwell, Measuring the size of non-spherical particles and the implications for grain size analysis in volcanology, Journal of Volcanology and Geothermal Research, Volume 415, 2021, 107257, ISSN 0377-0273, https://doi.org/10.1016/j.jvolgeores.2021.107257.</t>
  </si>
  <si>
    <t>Liang, P., &amp; Yang, X. (2023). Grain shape evolution of sand-sized sediments during transport from mountains to dune fields. Journal of Geophysical Research: Earth Surface, 128, e2022JF006930. https://doi.org/10.1029/2022JF006930</t>
  </si>
  <si>
    <t>Bulk Tapped Density</t>
  </si>
  <si>
    <t xml:space="preserve">Measuring both the total unsettled and tapped volume required reading off a 250 ml graduated cylinder. The smallest division on the cylinder is 2mL and therefore the absolute uncertainty is that of half the smallest division (+/- 1mL). This error will propagate into the CI and HR equations. </t>
  </si>
  <si>
    <t>Tung 1</t>
  </si>
  <si>
    <t>Atitlan</t>
  </si>
  <si>
    <t>Tung 2</t>
  </si>
  <si>
    <t>Tung 3</t>
  </si>
  <si>
    <t>Tung 4</t>
  </si>
  <si>
    <t>Tung 5</t>
  </si>
  <si>
    <t>Tung 6</t>
  </si>
  <si>
    <t>Loose Bulk Density (mean)</t>
  </si>
  <si>
    <t>wt.% experiment</t>
  </si>
  <si>
    <t>Total Mass (g)</t>
  </si>
  <si>
    <t>Cornstarch</t>
  </si>
  <si>
    <t>Material</t>
  </si>
  <si>
    <t>Material Mass (g)</t>
  </si>
  <si>
    <t>Uncertainty of Material Mass (g)</t>
  </si>
  <si>
    <t>Moisture Mass (g)</t>
  </si>
  <si>
    <t>Uncertainty of Moisture Mass (g)</t>
  </si>
  <si>
    <t>Total Mass Uncertainty (g)</t>
  </si>
  <si>
    <t>Addition of Uncertainty</t>
  </si>
  <si>
    <t>SQRT</t>
  </si>
  <si>
    <t>Volume Uncertainty (mL)</t>
  </si>
  <si>
    <t>Average Volume mL</t>
  </si>
  <si>
    <t>Total Uncertainty Loose Density (+-)</t>
  </si>
  <si>
    <t>Tapped Bulk Density (mean)</t>
  </si>
  <si>
    <t>Total Uncertainty Tapped Density (+-)</t>
  </si>
  <si>
    <t>HR</t>
  </si>
  <si>
    <t>(Uncertainty bulk/ bulk density )^2</t>
  </si>
  <si>
    <t>(Uncertainty tapped/ tapped density )^2</t>
  </si>
  <si>
    <t xml:space="preserve">Addition </t>
  </si>
  <si>
    <t>Uncertainty of HR</t>
  </si>
  <si>
    <t>CI</t>
  </si>
  <si>
    <t>Addition</t>
  </si>
  <si>
    <t>Uncertainty of CI</t>
  </si>
  <si>
    <t>Uncertainty in height</t>
  </si>
  <si>
    <t xml:space="preserve">Uncertainty in radius </t>
  </si>
  <si>
    <t xml:space="preserve">error reading of the manometer probe </t>
  </si>
  <si>
    <t xml:space="preserve">error from weighing the mateiral </t>
  </si>
  <si>
    <t xml:space="preserve">Uncertainty in measuring </t>
  </si>
  <si>
    <t>Fine Sand</t>
  </si>
  <si>
    <t>Average Height (cm)</t>
  </si>
  <si>
    <t>Uncertainty in height (cm)</t>
  </si>
  <si>
    <t>Uncertainty in radius (cm)</t>
  </si>
  <si>
    <t>Average Radius (cm)</t>
  </si>
  <si>
    <t>SAoR</t>
  </si>
  <si>
    <t>(Uncertainty Height/ Height) ^2</t>
  </si>
  <si>
    <t>(Uncertainty Radius/ Radius) ^2</t>
  </si>
  <si>
    <t>Uncertainty of SAOR</t>
  </si>
  <si>
    <t>Manometer Uncertainty</t>
  </si>
  <si>
    <t>Mass in certaint ^2</t>
  </si>
  <si>
    <t>DAOR</t>
  </si>
  <si>
    <t>Angle</t>
  </si>
  <si>
    <t xml:space="preserve">Angle Uncertainty </t>
  </si>
  <si>
    <t>(angle uncertainty/angle)^2</t>
  </si>
  <si>
    <t>Mass uncertainty</t>
  </si>
  <si>
    <t>Uncertainty of DAOR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</si>
</sst>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0"/>
    <numFmt numFmtId="167" formatCode="0.0000"/>
  </numFmts>
  <fonts count="10" x14ac:knownFonts="1">
    <font>
      <sz val="11"/>
      <color theme="1"/>
      <name val="Calibri"/>
      <family val="2"/>
      <scheme val="minor"/>
    </font>
    <font>
      <sz val="11"/>
      <color theme="1"/>
      <name val="Calibri"/>
      <family val="2"/>
    </font>
    <font>
      <sz val="11"/>
      <color rgb="FF9C0006"/>
      <name val="Calibri"/>
      <family val="2"/>
      <scheme val="minor"/>
    </font>
    <font>
      <sz val="11"/>
      <color rgb="FF9C5700"/>
      <name val="Calibri"/>
      <family val="2"/>
      <scheme val="minor"/>
    </font>
    <font>
      <sz val="11"/>
      <name val="Calibri"/>
      <family val="2"/>
      <scheme val="minor"/>
    </font>
    <font>
      <b/>
      <sz val="11"/>
      <color theme="1"/>
      <name val="Calibri"/>
      <family val="2"/>
      <scheme val="minor"/>
    </font>
    <font>
      <sz val="11"/>
      <color theme="1"/>
      <name val="Aptos"/>
      <family val="2"/>
    </font>
    <font>
      <b/>
      <sz val="11"/>
      <color theme="1"/>
      <name val="Aptos"/>
      <family val="2"/>
    </font>
    <font>
      <u/>
      <sz val="11"/>
      <color theme="10"/>
      <name val="Calibri"/>
      <family val="2"/>
      <scheme val="minor"/>
    </font>
    <font>
      <sz val="11"/>
      <color theme="0"/>
      <name val="Calibri"/>
      <family val="2"/>
      <scheme val="minor"/>
    </font>
  </fonts>
  <fills count="7">
    <fill>
      <patternFill patternType="none"/>
    </fill>
    <fill>
      <patternFill patternType="gray125"/>
    </fill>
    <fill>
      <patternFill patternType="solid">
        <fgColor rgb="FFFFC7CE"/>
      </patternFill>
    </fill>
    <fill>
      <patternFill patternType="solid">
        <fgColor rgb="FFFFEB9C"/>
      </patternFill>
    </fill>
    <fill>
      <patternFill patternType="solid">
        <fgColor theme="9" tint="0.79998168889431442"/>
        <bgColor indexed="64"/>
      </patternFill>
    </fill>
    <fill>
      <patternFill patternType="solid">
        <fgColor theme="0"/>
        <bgColor indexed="64"/>
      </patternFill>
    </fill>
    <fill>
      <patternFill patternType="solid">
        <fgColor theme="2"/>
        <bgColor indexed="64"/>
      </patternFill>
    </fill>
  </fills>
  <borders count="1">
    <border>
      <left/>
      <right/>
      <top/>
      <bottom/>
      <diagonal/>
    </border>
  </borders>
  <cellStyleXfs count="4">
    <xf numFmtId="0" fontId="0" fillId="0" borderId="0"/>
    <xf numFmtId="0" fontId="2" fillId="2" borderId="0" applyNumberFormat="0" applyBorder="0" applyAlignment="0" applyProtection="0"/>
    <xf numFmtId="0" fontId="3" fillId="3" borderId="0" applyNumberFormat="0" applyBorder="0" applyAlignment="0" applyProtection="0"/>
    <xf numFmtId="0" fontId="8" fillId="0" borderId="0" applyNumberFormat="0" applyFill="0" applyBorder="0" applyAlignment="0" applyProtection="0"/>
  </cellStyleXfs>
  <cellXfs count="36">
    <xf numFmtId="0" fontId="0" fillId="0" borderId="0" xfId="0"/>
    <xf numFmtId="0" fontId="0" fillId="0" borderId="0" xfId="0" quotePrefix="1"/>
    <xf numFmtId="2" fontId="0" fillId="0" borderId="0" xfId="0" applyNumberFormat="1"/>
    <xf numFmtId="164" fontId="0" fillId="0" borderId="0" xfId="0" applyNumberFormat="1"/>
    <xf numFmtId="1" fontId="0" fillId="0" borderId="0" xfId="0" applyNumberFormat="1"/>
    <xf numFmtId="0" fontId="2" fillId="0" borderId="0" xfId="1" applyFill="1"/>
    <xf numFmtId="0" fontId="4" fillId="0" borderId="0" xfId="2" applyFont="1" applyFill="1"/>
    <xf numFmtId="165" fontId="0" fillId="0" borderId="0" xfId="0" applyNumberFormat="1"/>
    <xf numFmtId="0" fontId="0" fillId="0" borderId="0" xfId="0" applyAlignment="1">
      <alignment horizontal="center"/>
    </xf>
    <xf numFmtId="0" fontId="6" fillId="0" borderId="0" xfId="0" applyFont="1" applyAlignment="1">
      <alignment vertical="center"/>
    </xf>
    <xf numFmtId="0" fontId="6" fillId="0" borderId="0" xfId="0" applyFont="1" applyAlignment="1">
      <alignmen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0" xfId="3" applyAlignment="1">
      <alignment vertical="center" wrapText="1"/>
    </xf>
    <xf numFmtId="0" fontId="7" fillId="0" borderId="0" xfId="0" applyFont="1" applyAlignment="1">
      <alignment vertical="center" wrapText="1"/>
    </xf>
    <xf numFmtId="0" fontId="7" fillId="0" borderId="0" xfId="0" applyFont="1" applyAlignment="1">
      <alignment horizontal="left" vertical="center"/>
    </xf>
    <xf numFmtId="0" fontId="5" fillId="0" borderId="0" xfId="0" applyFont="1" applyAlignment="1">
      <alignment horizontal="center" vertical="center"/>
    </xf>
    <xf numFmtId="0" fontId="9" fillId="0" borderId="0" xfId="0" applyFont="1" applyAlignment="1">
      <alignment horizontal="center"/>
    </xf>
    <xf numFmtId="0" fontId="5" fillId="0" borderId="0" xfId="0" applyFont="1" applyAlignment="1">
      <alignment horizontal="center" vertical="center" wrapText="1"/>
    </xf>
    <xf numFmtId="0" fontId="0" fillId="0" borderId="0" xfId="0" applyAlignment="1">
      <alignment vertical="center" wrapText="1"/>
    </xf>
    <xf numFmtId="0" fontId="5" fillId="4" borderId="0" xfId="0" applyFont="1" applyFill="1" applyAlignment="1">
      <alignment horizontal="center" vertical="center" wrapText="1"/>
    </xf>
    <xf numFmtId="0" fontId="5" fillId="5" borderId="0" xfId="0" applyFont="1" applyFill="1" applyAlignment="1">
      <alignment horizontal="center" vertical="center" wrapText="1"/>
    </xf>
    <xf numFmtId="166" fontId="0" fillId="0" borderId="0" xfId="0" applyNumberFormat="1" applyAlignment="1">
      <alignment vertical="center" wrapText="1"/>
    </xf>
    <xf numFmtId="2" fontId="0" fillId="0" borderId="0" xfId="0" applyNumberFormat="1" applyAlignment="1">
      <alignment vertical="center" wrapText="1"/>
    </xf>
    <xf numFmtId="167" fontId="0" fillId="0" borderId="0" xfId="0" applyNumberFormat="1"/>
    <xf numFmtId="0" fontId="0" fillId="0" borderId="0" xfId="0" applyAlignment="1">
      <alignment horizontal="right"/>
    </xf>
    <xf numFmtId="0" fontId="4" fillId="0" borderId="0" xfId="0" applyFont="1" applyAlignment="1">
      <alignment horizontal="right"/>
    </xf>
    <xf numFmtId="0" fontId="4" fillId="0" borderId="0" xfId="0" applyFont="1" applyAlignment="1">
      <alignment horizontal="center"/>
    </xf>
    <xf numFmtId="0" fontId="5" fillId="6" borderId="0" xfId="0" applyFont="1" applyFill="1" applyAlignment="1">
      <alignment horizontal="center" vertical="center" wrapText="1"/>
    </xf>
    <xf numFmtId="166" fontId="0" fillId="0" borderId="0" xfId="0" applyNumberFormat="1"/>
    <xf numFmtId="0" fontId="0" fillId="0" borderId="0" xfId="0"/>
    <xf numFmtId="0" fontId="4" fillId="0" borderId="0" xfId="2" applyFont="1" applyFill="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6" fillId="0" borderId="0" xfId="0" applyFont="1" applyAlignment="1">
      <alignment horizontal="center" vertical="center" wrapText="1"/>
    </xf>
  </cellXfs>
  <cellStyles count="4">
    <cellStyle name="Bad" xfId="1" builtinId="27"/>
    <cellStyle name="Hyperlink" xfId="3"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EMI WALDING" id="{8894DE4D-7FD7-46AC-9645-5817BFAE9962}" userId="S::N.WALDING-2021@hull.ac.uk::61c7539a-f0a1-4767-b5b1-fa16f0e6879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4-09T09:13:15.62" personId="{8894DE4D-7FD7-46AC-9645-5817BFAE9962}" id="{E8D368A5-C655-4C1E-9B5B-ECB9730F2D57}">
    <text>Material are listed in order of logarithmic particle size mean (ф)</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hyperlink" Target="https://doi.org/10.1029/2022JF006930" TargetMode="External"/><Relationship Id="rId1" Type="http://schemas.openxmlformats.org/officeDocument/2006/relationships/hyperlink" Target="https://doi.org/10.1016/j.jvolgeores.2021.10725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ABE81-BF1A-4DD5-AF0E-CAA1C82FEC2A}">
  <dimension ref="A1:AE22"/>
  <sheetViews>
    <sheetView zoomScale="85" zoomScaleNormal="85" workbookViewId="0">
      <pane xSplit="1" topLeftCell="B1" activePane="topRight" state="frozen"/>
      <selection pane="topRight" activeCell="D31" sqref="D31"/>
    </sheetView>
  </sheetViews>
  <sheetFormatPr defaultRowHeight="14.5" x14ac:dyDescent="0.35"/>
  <cols>
    <col min="1" max="1" width="32.7265625" customWidth="1"/>
    <col min="2" max="2" width="22.54296875" customWidth="1"/>
    <col min="3" max="3" width="17.54296875" customWidth="1"/>
    <col min="4" max="4" width="16" customWidth="1"/>
    <col min="5" max="6" width="16.54296875" customWidth="1"/>
    <col min="7" max="7" width="14.7265625" customWidth="1"/>
    <col min="8" max="8" width="17" customWidth="1"/>
    <col min="9" max="9" width="17.08984375" customWidth="1"/>
    <col min="10" max="10" width="16" customWidth="1"/>
    <col min="12" max="13" width="28.81640625" customWidth="1"/>
    <col min="14" max="14" width="14.7265625" customWidth="1"/>
    <col min="15" max="15" width="13.08984375" customWidth="1"/>
    <col min="16" max="16" width="28.7265625" customWidth="1"/>
    <col min="17" max="17" width="28.81640625" customWidth="1"/>
    <col min="18" max="18" width="16.36328125" customWidth="1"/>
    <col min="19" max="19" width="16.7265625" customWidth="1"/>
    <col min="20" max="20" width="27.7265625" customWidth="1"/>
    <col min="21" max="21" width="28.36328125" customWidth="1"/>
    <col min="22" max="22" width="15.7265625" customWidth="1"/>
    <col min="23" max="23" width="13.26953125" customWidth="1"/>
    <col min="24" max="24" width="28.36328125" customWidth="1"/>
    <col min="25" max="25" width="29.54296875" customWidth="1"/>
    <col min="26" max="26" width="14.7265625" customWidth="1"/>
    <col min="27" max="27" width="12.08984375" customWidth="1"/>
    <col min="28" max="28" width="29.08984375" customWidth="1"/>
    <col min="29" max="29" width="30" customWidth="1"/>
    <col min="30" max="30" width="15.54296875" customWidth="1"/>
    <col min="31" max="31" width="15.08984375" customWidth="1"/>
  </cols>
  <sheetData>
    <row r="1" spans="1:31" x14ac:dyDescent="0.35">
      <c r="A1" t="s">
        <v>1</v>
      </c>
      <c r="B1">
        <v>0</v>
      </c>
      <c r="C1">
        <v>0</v>
      </c>
      <c r="D1">
        <v>0.5</v>
      </c>
      <c r="E1">
        <v>0.5</v>
      </c>
      <c r="F1">
        <v>1</v>
      </c>
      <c r="G1">
        <v>1</v>
      </c>
      <c r="H1" s="3">
        <v>2.5</v>
      </c>
      <c r="I1">
        <v>2.5</v>
      </c>
      <c r="J1">
        <v>5</v>
      </c>
      <c r="K1">
        <v>5</v>
      </c>
      <c r="L1">
        <v>0</v>
      </c>
      <c r="M1">
        <v>0</v>
      </c>
      <c r="N1">
        <v>0</v>
      </c>
      <c r="O1">
        <v>0</v>
      </c>
      <c r="P1">
        <v>0.5</v>
      </c>
      <c r="Q1">
        <v>0.5</v>
      </c>
      <c r="R1">
        <v>0.5</v>
      </c>
      <c r="S1">
        <v>0.5</v>
      </c>
      <c r="T1">
        <v>1</v>
      </c>
      <c r="U1">
        <v>1</v>
      </c>
      <c r="V1">
        <v>1</v>
      </c>
      <c r="W1">
        <v>1</v>
      </c>
      <c r="X1">
        <v>2.5</v>
      </c>
      <c r="Y1">
        <v>2.5</v>
      </c>
      <c r="Z1">
        <v>2.5</v>
      </c>
      <c r="AA1">
        <v>2.5</v>
      </c>
      <c r="AB1">
        <v>5</v>
      </c>
      <c r="AC1">
        <v>5</v>
      </c>
      <c r="AD1" s="6">
        <v>5</v>
      </c>
      <c r="AE1" s="6">
        <v>5</v>
      </c>
    </row>
    <row r="2" spans="1:31" ht="17.25" customHeight="1" x14ac:dyDescent="0.35">
      <c r="A2" t="s">
        <v>2</v>
      </c>
      <c r="B2" s="30" t="s">
        <v>22</v>
      </c>
      <c r="C2" s="30" t="s">
        <v>23</v>
      </c>
      <c r="D2" s="30" t="s">
        <v>24</v>
      </c>
      <c r="E2" s="30" t="s">
        <v>23</v>
      </c>
      <c r="F2" s="30" t="s">
        <v>24</v>
      </c>
      <c r="G2" s="30" t="s">
        <v>23</v>
      </c>
      <c r="H2" s="30" t="s">
        <v>24</v>
      </c>
      <c r="I2" s="30" t="s">
        <v>23</v>
      </c>
      <c r="J2" s="30" t="s">
        <v>24</v>
      </c>
      <c r="K2" s="30" t="s">
        <v>23</v>
      </c>
      <c r="L2" s="30" t="s">
        <v>25</v>
      </c>
      <c r="M2" s="30" t="s">
        <v>26</v>
      </c>
      <c r="N2" s="30" t="s">
        <v>20</v>
      </c>
      <c r="O2" s="30" t="s">
        <v>21</v>
      </c>
      <c r="P2" s="30" t="s">
        <v>25</v>
      </c>
      <c r="Q2" s="30" t="s">
        <v>26</v>
      </c>
      <c r="R2" s="30" t="s">
        <v>20</v>
      </c>
      <c r="S2" s="30" t="s">
        <v>21</v>
      </c>
      <c r="T2" s="30" t="s">
        <v>25</v>
      </c>
      <c r="U2" s="30" t="s">
        <v>26</v>
      </c>
      <c r="V2" s="30" t="s">
        <v>20</v>
      </c>
      <c r="W2" s="30" t="s">
        <v>21</v>
      </c>
      <c r="X2" s="30" t="s">
        <v>25</v>
      </c>
      <c r="Y2" s="30" t="s">
        <v>26</v>
      </c>
      <c r="Z2" s="30" t="s">
        <v>20</v>
      </c>
      <c r="AA2" s="30" t="s">
        <v>21</v>
      </c>
      <c r="AB2" s="30" t="s">
        <v>25</v>
      </c>
      <c r="AC2" s="30" t="s">
        <v>26</v>
      </c>
      <c r="AD2" s="31" t="s">
        <v>20</v>
      </c>
      <c r="AE2" s="31" t="s">
        <v>21</v>
      </c>
    </row>
    <row r="3" spans="1:31" ht="42.75" customHeight="1" x14ac:dyDescent="0.35">
      <c r="A3" t="s">
        <v>0</v>
      </c>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1"/>
      <c r="AE3" s="31"/>
    </row>
    <row r="4" spans="1:31" x14ac:dyDescent="0.35">
      <c r="A4" t="s">
        <v>3</v>
      </c>
      <c r="B4" s="4" t="s">
        <v>168</v>
      </c>
      <c r="C4" t="s">
        <v>287</v>
      </c>
      <c r="D4" t="s">
        <v>184</v>
      </c>
      <c r="E4" t="s">
        <v>287</v>
      </c>
      <c r="F4" t="s">
        <v>200</v>
      </c>
      <c r="G4" t="s">
        <v>263</v>
      </c>
      <c r="H4" t="s">
        <v>216</v>
      </c>
      <c r="I4" t="s">
        <v>254</v>
      </c>
      <c r="J4" t="s">
        <v>232</v>
      </c>
      <c r="K4" t="s">
        <v>19</v>
      </c>
      <c r="L4" t="s">
        <v>54</v>
      </c>
      <c r="M4" t="s">
        <v>55</v>
      </c>
      <c r="N4" s="2">
        <v>1.3714</v>
      </c>
      <c r="O4" s="2">
        <v>27.083300000000001</v>
      </c>
      <c r="P4" t="s">
        <v>56</v>
      </c>
      <c r="Q4" t="s">
        <v>57</v>
      </c>
      <c r="R4" s="2">
        <v>1.397</v>
      </c>
      <c r="S4" s="2">
        <v>28.421050000000001</v>
      </c>
      <c r="T4" t="s">
        <v>56</v>
      </c>
      <c r="U4" t="s">
        <v>58</v>
      </c>
      <c r="V4" s="2">
        <v>1.3768119999999999</v>
      </c>
      <c r="W4" s="2">
        <v>27.368400000000001</v>
      </c>
      <c r="X4" t="s">
        <v>59</v>
      </c>
      <c r="Y4" t="s">
        <v>60</v>
      </c>
      <c r="Z4" s="7">
        <v>1.3332999999999999</v>
      </c>
      <c r="AA4" s="3">
        <v>25</v>
      </c>
      <c r="AB4" t="s">
        <v>61</v>
      </c>
      <c r="AC4" t="s">
        <v>62</v>
      </c>
      <c r="AD4" s="2">
        <v>1.3474999999999999</v>
      </c>
      <c r="AE4" s="2">
        <v>25.789400000000001</v>
      </c>
    </row>
    <row r="5" spans="1:31" x14ac:dyDescent="0.35">
      <c r="A5" t="s">
        <v>4</v>
      </c>
      <c r="B5" s="4" t="s">
        <v>163</v>
      </c>
      <c r="C5" t="s">
        <v>283</v>
      </c>
      <c r="D5" t="s">
        <v>179</v>
      </c>
      <c r="E5" t="s">
        <v>273</v>
      </c>
      <c r="F5" t="s">
        <v>195</v>
      </c>
      <c r="G5" t="s">
        <v>259</v>
      </c>
      <c r="H5" t="s">
        <v>211</v>
      </c>
      <c r="I5" t="s">
        <v>250</v>
      </c>
      <c r="J5" t="s">
        <v>227</v>
      </c>
      <c r="K5" t="s">
        <v>19</v>
      </c>
      <c r="L5" t="s">
        <v>63</v>
      </c>
      <c r="M5" t="s">
        <v>64</v>
      </c>
      <c r="N5" s="2">
        <v>1.2</v>
      </c>
      <c r="O5" s="2">
        <v>7.73</v>
      </c>
      <c r="P5" t="s">
        <v>109</v>
      </c>
      <c r="Q5" t="s">
        <v>110</v>
      </c>
      <c r="R5" s="2">
        <v>1.2608600000000001</v>
      </c>
      <c r="S5" s="2">
        <v>20.689</v>
      </c>
      <c r="T5" t="s">
        <v>111</v>
      </c>
      <c r="U5" t="s">
        <v>112</v>
      </c>
      <c r="V5" s="2">
        <v>1.3469</v>
      </c>
      <c r="W5" s="2">
        <v>25.7575</v>
      </c>
      <c r="X5" t="s">
        <v>113</v>
      </c>
      <c r="Y5" t="s">
        <v>114</v>
      </c>
      <c r="Z5" s="7">
        <v>1.4255</v>
      </c>
      <c r="AA5" s="3">
        <v>29.8507</v>
      </c>
      <c r="AB5" t="s">
        <v>115</v>
      </c>
      <c r="AC5" t="s">
        <v>116</v>
      </c>
      <c r="AD5" s="2">
        <v>1.4375</v>
      </c>
      <c r="AE5" s="2">
        <v>30.43478</v>
      </c>
    </row>
    <row r="6" spans="1:31" x14ac:dyDescent="0.35">
      <c r="A6" t="s">
        <v>5</v>
      </c>
      <c r="B6" s="4" t="s">
        <v>169</v>
      </c>
      <c r="C6" t="s">
        <v>288</v>
      </c>
      <c r="D6" t="s">
        <v>185</v>
      </c>
      <c r="E6" t="s">
        <v>292</v>
      </c>
      <c r="F6" t="s">
        <v>201</v>
      </c>
      <c r="G6" t="s">
        <v>262</v>
      </c>
      <c r="H6" t="s">
        <v>217</v>
      </c>
      <c r="I6" t="s">
        <v>251</v>
      </c>
      <c r="J6" t="s">
        <v>233</v>
      </c>
      <c r="K6" t="s">
        <v>19</v>
      </c>
      <c r="L6" t="s">
        <v>117</v>
      </c>
      <c r="M6" t="s">
        <v>118</v>
      </c>
      <c r="N6" s="2">
        <v>1.3315999999999999</v>
      </c>
      <c r="O6" s="2">
        <v>24.9</v>
      </c>
      <c r="P6" t="s">
        <v>65</v>
      </c>
      <c r="Q6" t="s">
        <v>66</v>
      </c>
      <c r="R6" s="2">
        <v>1.3278000000000001</v>
      </c>
      <c r="S6" s="2">
        <v>24.666599999999999</v>
      </c>
      <c r="T6" t="s">
        <v>67</v>
      </c>
      <c r="U6" t="s">
        <v>68</v>
      </c>
      <c r="V6" s="2">
        <v>1.2748999999999999</v>
      </c>
      <c r="W6" s="2">
        <v>21.423310000000001</v>
      </c>
      <c r="X6" t="s">
        <v>69</v>
      </c>
      <c r="Y6" t="s">
        <v>70</v>
      </c>
      <c r="Z6" s="7">
        <v>1.4742999999999999</v>
      </c>
      <c r="AA6" s="3">
        <v>32.168599999999998</v>
      </c>
      <c r="AB6" t="s">
        <v>71</v>
      </c>
      <c r="AC6" t="s">
        <v>72</v>
      </c>
      <c r="AD6" s="2">
        <v>1.3846000000000001</v>
      </c>
      <c r="AE6" s="2">
        <v>27.7744</v>
      </c>
    </row>
    <row r="7" spans="1:31" x14ac:dyDescent="0.35">
      <c r="A7" t="s">
        <v>6</v>
      </c>
      <c r="B7" s="4" t="s">
        <v>167</v>
      </c>
      <c r="C7" t="s">
        <v>289</v>
      </c>
      <c r="D7" t="s">
        <v>183</v>
      </c>
      <c r="E7" t="s">
        <v>287</v>
      </c>
      <c r="F7" t="s">
        <v>199</v>
      </c>
      <c r="G7" t="s">
        <v>261</v>
      </c>
      <c r="H7" t="s">
        <v>215</v>
      </c>
      <c r="I7" t="s">
        <v>253</v>
      </c>
      <c r="J7" t="s">
        <v>231</v>
      </c>
      <c r="K7" t="s">
        <v>19</v>
      </c>
      <c r="L7" t="s">
        <v>123</v>
      </c>
      <c r="M7" t="s">
        <v>124</v>
      </c>
      <c r="N7" s="2">
        <v>1.2641</v>
      </c>
      <c r="O7" s="2">
        <v>20.8916</v>
      </c>
      <c r="P7" t="s">
        <v>73</v>
      </c>
      <c r="Q7" t="s">
        <v>74</v>
      </c>
      <c r="R7" s="2">
        <v>1.4088000000000001</v>
      </c>
      <c r="S7" s="2">
        <v>29.007999999999999</v>
      </c>
      <c r="T7" t="s">
        <v>75</v>
      </c>
      <c r="U7" t="s">
        <v>76</v>
      </c>
      <c r="V7" s="2">
        <v>1.4246000000000001</v>
      </c>
      <c r="W7" s="2">
        <v>29.7011</v>
      </c>
      <c r="X7" t="s">
        <v>119</v>
      </c>
      <c r="Y7" t="s">
        <v>120</v>
      </c>
      <c r="Z7" s="7">
        <v>1.33707</v>
      </c>
      <c r="AA7" s="3">
        <v>25.210080000000001</v>
      </c>
      <c r="AB7" t="s">
        <v>121</v>
      </c>
      <c r="AC7" t="s">
        <v>122</v>
      </c>
      <c r="AD7" s="2">
        <v>1.4770000000000001</v>
      </c>
      <c r="AE7" s="2">
        <v>32.307600000000001</v>
      </c>
    </row>
    <row r="8" spans="1:31" x14ac:dyDescent="0.35">
      <c r="A8" t="s">
        <v>7</v>
      </c>
      <c r="B8" s="4" t="s">
        <v>155</v>
      </c>
      <c r="C8" t="s">
        <v>274</v>
      </c>
      <c r="D8" t="s">
        <v>171</v>
      </c>
      <c r="E8" t="s">
        <v>264</v>
      </c>
      <c r="F8" t="s">
        <v>187</v>
      </c>
      <c r="G8" t="s">
        <v>235</v>
      </c>
      <c r="H8" t="s">
        <v>203</v>
      </c>
      <c r="I8" t="s">
        <v>241</v>
      </c>
      <c r="J8" t="s">
        <v>219</v>
      </c>
      <c r="K8" t="s">
        <v>19</v>
      </c>
      <c r="L8" t="s">
        <v>27</v>
      </c>
      <c r="M8" t="s">
        <v>28</v>
      </c>
      <c r="N8" s="2">
        <v>1.034</v>
      </c>
      <c r="O8" s="2">
        <v>3.2719999999999998</v>
      </c>
      <c r="P8" t="s">
        <v>29</v>
      </c>
      <c r="Q8" t="s">
        <v>30</v>
      </c>
      <c r="R8" s="2">
        <v>1.2</v>
      </c>
      <c r="S8" s="2">
        <v>16.666599999999999</v>
      </c>
      <c r="T8" t="s">
        <v>31</v>
      </c>
      <c r="U8" t="s">
        <v>32</v>
      </c>
      <c r="V8" s="2">
        <v>1.5</v>
      </c>
      <c r="W8" s="2">
        <v>33.333300000000001</v>
      </c>
      <c r="X8" t="s">
        <v>33</v>
      </c>
      <c r="Y8" t="s">
        <v>34</v>
      </c>
      <c r="Z8" s="7">
        <v>1.52</v>
      </c>
      <c r="AA8" s="3">
        <v>34.210500000000003</v>
      </c>
      <c r="AB8" t="s">
        <v>35</v>
      </c>
      <c r="AC8" t="s">
        <v>36</v>
      </c>
      <c r="AD8" s="2">
        <v>1.5773999999999999</v>
      </c>
      <c r="AE8" s="2">
        <v>36.606999999999999</v>
      </c>
    </row>
    <row r="9" spans="1:31" x14ac:dyDescent="0.35">
      <c r="A9" t="s">
        <v>8</v>
      </c>
      <c r="B9" s="4" t="s">
        <v>158</v>
      </c>
      <c r="C9" t="s">
        <v>280</v>
      </c>
      <c r="D9" t="s">
        <v>174</v>
      </c>
      <c r="E9" t="s">
        <v>270</v>
      </c>
      <c r="F9" t="s">
        <v>190</v>
      </c>
      <c r="G9" t="s">
        <v>255</v>
      </c>
      <c r="H9" t="s">
        <v>206</v>
      </c>
      <c r="I9" t="s">
        <v>247</v>
      </c>
      <c r="J9" t="s">
        <v>222</v>
      </c>
      <c r="K9" t="s">
        <v>19</v>
      </c>
      <c r="L9" t="s">
        <v>77</v>
      </c>
      <c r="M9" t="s">
        <v>78</v>
      </c>
      <c r="N9" s="2">
        <v>1.1814</v>
      </c>
      <c r="O9" s="2">
        <v>15.3508</v>
      </c>
      <c r="P9" t="s">
        <v>79</v>
      </c>
      <c r="Q9" t="s">
        <v>80</v>
      </c>
      <c r="R9" s="2">
        <v>1.1753</v>
      </c>
      <c r="S9" s="2">
        <v>14.696020000000001</v>
      </c>
      <c r="T9" t="s">
        <v>81</v>
      </c>
      <c r="U9" t="s">
        <v>82</v>
      </c>
      <c r="V9" s="2">
        <v>1.2</v>
      </c>
      <c r="W9" s="2">
        <v>16.658300000000001</v>
      </c>
      <c r="X9" t="s">
        <v>109</v>
      </c>
      <c r="Y9" t="s">
        <v>110</v>
      </c>
      <c r="Z9" s="7">
        <v>1.2608600000000001</v>
      </c>
      <c r="AA9" s="3">
        <v>20.68965</v>
      </c>
      <c r="AB9" t="s">
        <v>154</v>
      </c>
      <c r="AC9" t="s">
        <v>110</v>
      </c>
      <c r="AD9" s="2">
        <v>1.3478000000000001</v>
      </c>
      <c r="AE9" s="2">
        <v>25.8064</v>
      </c>
    </row>
    <row r="10" spans="1:31" x14ac:dyDescent="0.35">
      <c r="A10" t="s">
        <v>9</v>
      </c>
      <c r="B10" s="4" t="s">
        <v>159</v>
      </c>
      <c r="C10" t="s">
        <v>278</v>
      </c>
      <c r="D10" t="s">
        <v>175</v>
      </c>
      <c r="E10" t="s">
        <v>268</v>
      </c>
      <c r="F10" t="s">
        <v>191</v>
      </c>
      <c r="G10" t="s">
        <v>256</v>
      </c>
      <c r="H10" t="s">
        <v>207</v>
      </c>
      <c r="I10" t="s">
        <v>245</v>
      </c>
      <c r="J10" t="s">
        <v>223</v>
      </c>
      <c r="K10" t="s">
        <v>19</v>
      </c>
      <c r="L10" t="s">
        <v>83</v>
      </c>
      <c r="M10" t="s">
        <v>84</v>
      </c>
      <c r="N10" s="2">
        <v>1.1666000000000001</v>
      </c>
      <c r="O10" s="2">
        <v>14.282</v>
      </c>
      <c r="P10" t="s">
        <v>139</v>
      </c>
      <c r="Q10" t="s">
        <v>140</v>
      </c>
      <c r="R10" s="2">
        <v>1.2051000000000001</v>
      </c>
      <c r="S10" s="2">
        <v>17.0212</v>
      </c>
      <c r="T10" t="s">
        <v>33</v>
      </c>
      <c r="U10" t="s">
        <v>141</v>
      </c>
      <c r="V10" s="2">
        <v>1.5405</v>
      </c>
      <c r="W10" s="2">
        <v>35.08</v>
      </c>
      <c r="X10" t="s">
        <v>142</v>
      </c>
      <c r="Y10" t="s">
        <v>143</v>
      </c>
      <c r="Z10" s="7">
        <v>1.2857000000000001</v>
      </c>
      <c r="AA10" s="3">
        <v>22.222000000000001</v>
      </c>
      <c r="AB10" t="s">
        <v>126</v>
      </c>
      <c r="AC10" t="s">
        <v>144</v>
      </c>
      <c r="AD10" s="2">
        <v>1.222</v>
      </c>
      <c r="AE10" s="2">
        <v>18.181799999999999</v>
      </c>
    </row>
    <row r="11" spans="1:31" x14ac:dyDescent="0.35">
      <c r="A11" t="s">
        <v>10</v>
      </c>
      <c r="B11" s="4" t="s">
        <v>170</v>
      </c>
      <c r="C11" t="s">
        <v>290</v>
      </c>
      <c r="D11" t="s">
        <v>186</v>
      </c>
      <c r="E11" t="s">
        <v>293</v>
      </c>
      <c r="F11" t="s">
        <v>202</v>
      </c>
      <c r="G11" t="s">
        <v>260</v>
      </c>
      <c r="H11" t="s">
        <v>218</v>
      </c>
      <c r="I11" t="s">
        <v>252</v>
      </c>
      <c r="J11" t="s">
        <v>234</v>
      </c>
      <c r="K11" t="s">
        <v>19</v>
      </c>
      <c r="L11" t="s">
        <v>130</v>
      </c>
      <c r="M11" t="s">
        <v>131</v>
      </c>
      <c r="N11" s="2">
        <v>1.1441600000000001</v>
      </c>
      <c r="O11" s="2">
        <v>12.5989</v>
      </c>
      <c r="P11" t="s">
        <v>125</v>
      </c>
      <c r="Q11" t="s">
        <v>126</v>
      </c>
      <c r="R11" s="2">
        <v>1.1636</v>
      </c>
      <c r="S11" s="2">
        <v>14.0625</v>
      </c>
      <c r="T11" t="s">
        <v>127</v>
      </c>
      <c r="U11" t="s">
        <v>126</v>
      </c>
      <c r="V11" s="2">
        <v>1.272</v>
      </c>
      <c r="W11" s="2">
        <v>21.428570000000001</v>
      </c>
      <c r="X11" t="s">
        <v>128</v>
      </c>
      <c r="Y11" t="s">
        <v>129</v>
      </c>
      <c r="Z11" s="7">
        <v>1.1904699999999999</v>
      </c>
      <c r="AA11" s="3">
        <v>16</v>
      </c>
      <c r="AB11" t="s">
        <v>99</v>
      </c>
      <c r="AC11" t="s">
        <v>121</v>
      </c>
      <c r="AD11" s="2">
        <v>1.2923</v>
      </c>
      <c r="AE11" s="2">
        <v>22.619</v>
      </c>
    </row>
    <row r="12" spans="1:31" x14ac:dyDescent="0.35">
      <c r="A12" t="s">
        <v>11</v>
      </c>
      <c r="B12" s="4" t="s">
        <v>162</v>
      </c>
      <c r="C12" t="s">
        <v>282</v>
      </c>
      <c r="D12" t="s">
        <v>178</v>
      </c>
      <c r="E12" t="s">
        <v>272</v>
      </c>
      <c r="F12" t="s">
        <v>194</v>
      </c>
      <c r="G12" t="s">
        <v>258</v>
      </c>
      <c r="H12" t="s">
        <v>210</v>
      </c>
      <c r="I12" t="s">
        <v>249</v>
      </c>
      <c r="J12" t="s">
        <v>226</v>
      </c>
      <c r="K12" t="s">
        <v>19</v>
      </c>
      <c r="L12" t="s">
        <v>85</v>
      </c>
      <c r="M12" t="s">
        <v>86</v>
      </c>
      <c r="N12" s="2">
        <v>1.0706</v>
      </c>
      <c r="O12" s="2">
        <v>6.5880000000000001</v>
      </c>
      <c r="P12" t="s">
        <v>145</v>
      </c>
      <c r="Q12" t="s">
        <v>146</v>
      </c>
      <c r="R12" s="2">
        <v>1.1627000000000001</v>
      </c>
      <c r="S12" s="2">
        <v>14</v>
      </c>
      <c r="T12" t="s">
        <v>147</v>
      </c>
      <c r="U12" t="s">
        <v>120</v>
      </c>
      <c r="V12" s="2">
        <v>1.1234999999999999</v>
      </c>
      <c r="W12" s="2">
        <v>11</v>
      </c>
      <c r="X12" t="s">
        <v>142</v>
      </c>
      <c r="Y12" t="s">
        <v>116</v>
      </c>
      <c r="Z12" s="7">
        <v>1.125</v>
      </c>
      <c r="AA12" s="3">
        <v>11.1111</v>
      </c>
      <c r="AB12" t="s">
        <v>148</v>
      </c>
      <c r="AC12" t="s">
        <v>114</v>
      </c>
      <c r="AD12" s="2">
        <v>1.5744</v>
      </c>
      <c r="AE12" s="2">
        <v>36.486400000000003</v>
      </c>
    </row>
    <row r="13" spans="1:31" x14ac:dyDescent="0.35">
      <c r="A13" t="s">
        <v>12</v>
      </c>
      <c r="B13" s="4" t="s">
        <v>157</v>
      </c>
      <c r="C13" t="s">
        <v>276</v>
      </c>
      <c r="D13" t="s">
        <v>173</v>
      </c>
      <c r="E13" t="s">
        <v>266</v>
      </c>
      <c r="F13" t="s">
        <v>189</v>
      </c>
      <c r="G13" t="s">
        <v>237</v>
      </c>
      <c r="H13" t="s">
        <v>205</v>
      </c>
      <c r="I13" t="s">
        <v>243</v>
      </c>
      <c r="J13" t="s">
        <v>221</v>
      </c>
      <c r="K13" s="1" t="s">
        <v>19</v>
      </c>
      <c r="L13" t="s">
        <v>44</v>
      </c>
      <c r="M13" t="s">
        <v>45</v>
      </c>
      <c r="N13" s="2">
        <v>1.0935999999999999</v>
      </c>
      <c r="O13" s="2">
        <v>8.5585000000000004</v>
      </c>
      <c r="P13" t="s">
        <v>46</v>
      </c>
      <c r="Q13" t="s">
        <v>47</v>
      </c>
      <c r="R13" s="2">
        <v>1.1731</v>
      </c>
      <c r="S13" s="2">
        <v>14.56522</v>
      </c>
      <c r="T13" t="s">
        <v>48</v>
      </c>
      <c r="U13" t="s">
        <v>49</v>
      </c>
      <c r="V13" s="2">
        <v>1.1763999999999999</v>
      </c>
      <c r="W13" s="2">
        <v>14.978</v>
      </c>
      <c r="X13" t="s">
        <v>50</v>
      </c>
      <c r="Y13" t="s">
        <v>51</v>
      </c>
      <c r="Z13" s="7">
        <v>1.1789000000000001</v>
      </c>
      <c r="AA13" s="3">
        <v>15.1014</v>
      </c>
      <c r="AB13" t="s">
        <v>52</v>
      </c>
      <c r="AC13" t="s">
        <v>53</v>
      </c>
      <c r="AD13" s="2">
        <v>1.3214999999999999</v>
      </c>
      <c r="AE13" s="2">
        <v>24.263999999999999</v>
      </c>
    </row>
    <row r="14" spans="1:31" x14ac:dyDescent="0.35">
      <c r="A14" t="s">
        <v>13</v>
      </c>
      <c r="B14" s="4" t="s">
        <v>166</v>
      </c>
      <c r="C14" t="s">
        <v>291</v>
      </c>
      <c r="D14" t="s">
        <v>182</v>
      </c>
      <c r="E14" t="s">
        <v>260</v>
      </c>
      <c r="F14" t="s">
        <v>198</v>
      </c>
      <c r="G14" t="s">
        <v>251</v>
      </c>
      <c r="H14" t="s">
        <v>214</v>
      </c>
      <c r="I14" t="s">
        <v>251</v>
      </c>
      <c r="J14" t="s">
        <v>230</v>
      </c>
      <c r="K14" t="s">
        <v>19</v>
      </c>
      <c r="L14" t="s">
        <v>137</v>
      </c>
      <c r="M14" t="s">
        <v>138</v>
      </c>
      <c r="N14" s="2">
        <v>1.2387999999999999</v>
      </c>
      <c r="O14" s="2">
        <v>19.260000000000002</v>
      </c>
      <c r="P14" t="s">
        <v>132</v>
      </c>
      <c r="Q14" t="s">
        <v>125</v>
      </c>
      <c r="R14" s="2">
        <v>1.3593</v>
      </c>
      <c r="S14" s="2">
        <v>26.436699999999998</v>
      </c>
      <c r="T14" t="s">
        <v>133</v>
      </c>
      <c r="U14" t="s">
        <v>113</v>
      </c>
      <c r="V14" s="2">
        <v>1.5074000000000001</v>
      </c>
      <c r="W14" s="2">
        <v>22.6633</v>
      </c>
      <c r="X14" t="s">
        <v>134</v>
      </c>
      <c r="Y14" t="s">
        <v>128</v>
      </c>
      <c r="Z14" s="7">
        <v>1.5666</v>
      </c>
      <c r="AA14" s="3">
        <v>36.170200000000001</v>
      </c>
      <c r="AB14" t="s">
        <v>135</v>
      </c>
      <c r="AC14" t="s">
        <v>136</v>
      </c>
      <c r="AD14" s="2">
        <v>1.5431999999999999</v>
      </c>
      <c r="AE14" s="2">
        <v>35.200000000000003</v>
      </c>
    </row>
    <row r="15" spans="1:31" x14ac:dyDescent="0.35">
      <c r="A15" t="s">
        <v>14</v>
      </c>
      <c r="B15" s="4" t="s">
        <v>165</v>
      </c>
      <c r="C15" t="s">
        <v>284</v>
      </c>
      <c r="D15" t="s">
        <v>181</v>
      </c>
      <c r="E15" t="s">
        <v>285</v>
      </c>
      <c r="F15" t="s">
        <v>197</v>
      </c>
      <c r="G15" t="s">
        <v>286</v>
      </c>
      <c r="H15" t="s">
        <v>213</v>
      </c>
      <c r="I15" t="s">
        <v>254</v>
      </c>
      <c r="J15" t="s">
        <v>229</v>
      </c>
      <c r="K15" t="s">
        <v>19</v>
      </c>
      <c r="L15" t="s">
        <v>87</v>
      </c>
      <c r="M15" t="s">
        <v>88</v>
      </c>
      <c r="N15" s="2">
        <v>1.0844</v>
      </c>
      <c r="O15" s="2">
        <v>7.7786</v>
      </c>
      <c r="P15" t="s">
        <v>149</v>
      </c>
      <c r="Q15" t="s">
        <v>150</v>
      </c>
      <c r="R15" s="2">
        <v>1.2692000000000001</v>
      </c>
      <c r="S15" s="2">
        <v>21.2121</v>
      </c>
      <c r="T15" t="s">
        <v>89</v>
      </c>
      <c r="U15" t="s">
        <v>90</v>
      </c>
      <c r="V15" s="2">
        <v>1.26566</v>
      </c>
      <c r="W15" s="2">
        <v>18.122730000000001</v>
      </c>
      <c r="X15" t="s">
        <v>91</v>
      </c>
      <c r="Y15" t="s">
        <v>92</v>
      </c>
      <c r="Z15" s="7">
        <v>1.2541</v>
      </c>
      <c r="AA15" s="3">
        <v>20.263100000000001</v>
      </c>
      <c r="AB15" t="s">
        <v>132</v>
      </c>
      <c r="AC15" t="s">
        <v>119</v>
      </c>
      <c r="AD15" s="2">
        <v>1.4621</v>
      </c>
      <c r="AE15" s="2">
        <v>31.609000000000002</v>
      </c>
    </row>
    <row r="16" spans="1:31" x14ac:dyDescent="0.35">
      <c r="A16" t="s">
        <v>15</v>
      </c>
      <c r="B16" s="4" t="s">
        <v>164</v>
      </c>
      <c r="C16" t="s">
        <v>277</v>
      </c>
      <c r="D16" t="s">
        <v>180</v>
      </c>
      <c r="E16" t="s">
        <v>267</v>
      </c>
      <c r="F16" t="s">
        <v>196</v>
      </c>
      <c r="G16" t="s">
        <v>238</v>
      </c>
      <c r="H16" t="s">
        <v>212</v>
      </c>
      <c r="I16" t="s">
        <v>244</v>
      </c>
      <c r="J16" t="s">
        <v>228</v>
      </c>
      <c r="K16" t="s">
        <v>19</v>
      </c>
      <c r="L16" t="s">
        <v>93</v>
      </c>
      <c r="M16" t="s">
        <v>94</v>
      </c>
      <c r="N16" s="2">
        <v>1.22</v>
      </c>
      <c r="O16" s="2">
        <v>18.284400000000002</v>
      </c>
      <c r="P16" t="s">
        <v>95</v>
      </c>
      <c r="Q16" t="s">
        <v>96</v>
      </c>
      <c r="R16" s="2">
        <v>1.2298</v>
      </c>
      <c r="S16" s="2">
        <v>18.68</v>
      </c>
      <c r="T16" t="s">
        <v>97</v>
      </c>
      <c r="U16" t="s">
        <v>98</v>
      </c>
      <c r="V16" s="2">
        <v>1.1779999999999999</v>
      </c>
      <c r="W16" s="2">
        <v>15.1515</v>
      </c>
      <c r="X16" t="s">
        <v>95</v>
      </c>
      <c r="Y16" t="s">
        <v>99</v>
      </c>
      <c r="Z16" s="7">
        <v>1.2083299999999999</v>
      </c>
      <c r="AA16" s="3">
        <v>17.241299999999999</v>
      </c>
      <c r="AB16" t="s">
        <v>100</v>
      </c>
      <c r="AC16" t="s">
        <v>99</v>
      </c>
      <c r="AD16" s="2">
        <v>1.2082999999999999</v>
      </c>
      <c r="AE16" s="2">
        <v>17.241299999999999</v>
      </c>
    </row>
    <row r="17" spans="1:31" x14ac:dyDescent="0.35">
      <c r="A17" t="s">
        <v>17</v>
      </c>
      <c r="B17" s="4" t="s">
        <v>160</v>
      </c>
      <c r="C17" t="s">
        <v>279</v>
      </c>
      <c r="D17" t="s">
        <v>176</v>
      </c>
      <c r="E17" t="s">
        <v>269</v>
      </c>
      <c r="F17" t="s">
        <v>192</v>
      </c>
      <c r="G17" t="s">
        <v>239</v>
      </c>
      <c r="H17" t="s">
        <v>208</v>
      </c>
      <c r="I17" t="s">
        <v>246</v>
      </c>
      <c r="J17" t="s">
        <v>224</v>
      </c>
      <c r="K17" t="s">
        <v>19</v>
      </c>
      <c r="L17" t="s">
        <v>101</v>
      </c>
      <c r="M17" t="s">
        <v>102</v>
      </c>
      <c r="N17" s="2">
        <v>1.1197999999999999</v>
      </c>
      <c r="O17" s="2">
        <v>10.6837</v>
      </c>
      <c r="P17" t="s">
        <v>103</v>
      </c>
      <c r="Q17" t="s">
        <v>104</v>
      </c>
      <c r="R17" s="2">
        <v>1.1000000000000001</v>
      </c>
      <c r="S17" s="2">
        <v>9.16</v>
      </c>
      <c r="T17" t="s">
        <v>105</v>
      </c>
      <c r="U17" t="s">
        <v>106</v>
      </c>
      <c r="V17" s="2">
        <v>1.05</v>
      </c>
      <c r="W17" s="2">
        <v>5.41</v>
      </c>
      <c r="X17" t="s">
        <v>147</v>
      </c>
      <c r="Y17" t="s">
        <v>41</v>
      </c>
      <c r="Z17" s="7">
        <v>1.47058</v>
      </c>
      <c r="AA17" s="3">
        <v>32</v>
      </c>
      <c r="AB17" t="s">
        <v>116</v>
      </c>
      <c r="AC17" t="s">
        <v>153</v>
      </c>
      <c r="AD17" s="2">
        <v>1.3332999999999999</v>
      </c>
      <c r="AE17" s="2">
        <v>25</v>
      </c>
    </row>
    <row r="18" spans="1:31" x14ac:dyDescent="0.35">
      <c r="A18" t="s">
        <v>18</v>
      </c>
      <c r="B18" s="4" t="s">
        <v>161</v>
      </c>
      <c r="C18" t="s">
        <v>281</v>
      </c>
      <c r="D18" t="s">
        <v>177</v>
      </c>
      <c r="E18" t="s">
        <v>271</v>
      </c>
      <c r="F18" t="s">
        <v>193</v>
      </c>
      <c r="G18" t="s">
        <v>257</v>
      </c>
      <c r="H18" t="s">
        <v>209</v>
      </c>
      <c r="I18" t="s">
        <v>248</v>
      </c>
      <c r="J18" t="s">
        <v>225</v>
      </c>
      <c r="K18" t="s">
        <v>19</v>
      </c>
      <c r="L18" t="s">
        <v>108</v>
      </c>
      <c r="M18" t="s">
        <v>107</v>
      </c>
      <c r="N18" s="2">
        <v>1.1544000000000001</v>
      </c>
      <c r="O18" s="2">
        <v>13.372299999999999</v>
      </c>
      <c r="P18" t="s">
        <v>151</v>
      </c>
      <c r="Q18" t="s">
        <v>152</v>
      </c>
      <c r="R18" s="2">
        <v>1.1537999999999999</v>
      </c>
      <c r="S18" s="2">
        <v>13.333</v>
      </c>
      <c r="T18" t="s">
        <v>144</v>
      </c>
      <c r="U18" t="s">
        <v>39</v>
      </c>
      <c r="V18" s="2">
        <v>1.2857000000000001</v>
      </c>
      <c r="W18" s="2">
        <v>22.222200000000001</v>
      </c>
      <c r="X18" t="s">
        <v>126</v>
      </c>
      <c r="Y18" t="s">
        <v>153</v>
      </c>
      <c r="Z18" s="7">
        <v>1.5277000000000001</v>
      </c>
      <c r="AA18" s="3">
        <v>34.545400000000001</v>
      </c>
      <c r="AB18" t="s">
        <v>114</v>
      </c>
      <c r="AC18" t="s">
        <v>105</v>
      </c>
      <c r="AD18" s="2">
        <v>1.093</v>
      </c>
      <c r="AE18" s="2">
        <v>8.5106000000000002</v>
      </c>
    </row>
    <row r="19" spans="1:31" x14ac:dyDescent="0.35">
      <c r="A19" t="s">
        <v>16</v>
      </c>
      <c r="B19" s="4" t="s">
        <v>156</v>
      </c>
      <c r="C19" t="s">
        <v>275</v>
      </c>
      <c r="D19" t="s">
        <v>172</v>
      </c>
      <c r="E19" t="s">
        <v>265</v>
      </c>
      <c r="F19" t="s">
        <v>188</v>
      </c>
      <c r="G19" t="s">
        <v>236</v>
      </c>
      <c r="H19" t="s">
        <v>204</v>
      </c>
      <c r="I19" t="s">
        <v>242</v>
      </c>
      <c r="J19" t="s">
        <v>220</v>
      </c>
      <c r="K19" t="s">
        <v>19</v>
      </c>
      <c r="L19" t="s">
        <v>37</v>
      </c>
      <c r="M19" t="s">
        <v>38</v>
      </c>
      <c r="N19" s="2">
        <v>1</v>
      </c>
      <c r="O19" s="2">
        <v>0</v>
      </c>
      <c r="P19" t="s">
        <v>39</v>
      </c>
      <c r="Q19" t="s">
        <v>40</v>
      </c>
      <c r="R19" s="2">
        <v>1.1666000000000001</v>
      </c>
      <c r="S19" s="2">
        <v>14.2857</v>
      </c>
      <c r="T19" t="s">
        <v>41</v>
      </c>
      <c r="U19" t="s">
        <v>40</v>
      </c>
      <c r="V19" s="2">
        <v>1.1333</v>
      </c>
      <c r="W19" s="2">
        <v>11.764699999999999</v>
      </c>
      <c r="X19" t="s">
        <v>42</v>
      </c>
      <c r="Y19" t="s">
        <v>40</v>
      </c>
      <c r="Z19" s="7">
        <v>1.0333000000000001</v>
      </c>
      <c r="AA19" s="3">
        <v>3.8</v>
      </c>
      <c r="AB19" t="s">
        <v>43</v>
      </c>
      <c r="AC19" t="s">
        <v>40</v>
      </c>
      <c r="AD19" s="2">
        <v>1.1499999999999999</v>
      </c>
      <c r="AE19" s="2">
        <v>13.0434</v>
      </c>
    </row>
    <row r="21" spans="1:31" x14ac:dyDescent="0.35">
      <c r="B21" s="4" t="s">
        <v>240</v>
      </c>
    </row>
    <row r="22" spans="1:31" x14ac:dyDescent="0.35">
      <c r="Q22" s="5"/>
    </row>
  </sheetData>
  <mergeCells count="30">
    <mergeCell ref="AE2:AE3"/>
    <mergeCell ref="Y2:Y3"/>
    <mergeCell ref="Z2:Z3"/>
    <mergeCell ref="AA2:AA3"/>
    <mergeCell ref="AB2:AB3"/>
    <mergeCell ref="AC2:AC3"/>
    <mergeCell ref="AD2:AD3"/>
    <mergeCell ref="X2:X3"/>
    <mergeCell ref="M2:M3"/>
    <mergeCell ref="P2:P3"/>
    <mergeCell ref="Q2:Q3"/>
    <mergeCell ref="R2:R3"/>
    <mergeCell ref="S2:S3"/>
    <mergeCell ref="T2:T3"/>
    <mergeCell ref="U2:U3"/>
    <mergeCell ref="V2:V3"/>
    <mergeCell ref="W2:W3"/>
    <mergeCell ref="N2:N3"/>
    <mergeCell ref="O2:O3"/>
    <mergeCell ref="L2:L3"/>
    <mergeCell ref="B2:B3"/>
    <mergeCell ref="C2:C3"/>
    <mergeCell ref="D2:D3"/>
    <mergeCell ref="E2:E3"/>
    <mergeCell ref="F2:F3"/>
    <mergeCell ref="G2:G3"/>
    <mergeCell ref="H2:H3"/>
    <mergeCell ref="I2:I3"/>
    <mergeCell ref="J2:J3"/>
    <mergeCell ref="K2:K3"/>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F731B-E75B-4F82-B79D-1288523F40B7}">
  <dimension ref="A1:A9"/>
  <sheetViews>
    <sheetView workbookViewId="0">
      <selection activeCell="A27" sqref="A27"/>
    </sheetView>
  </sheetViews>
  <sheetFormatPr defaultRowHeight="14.5" x14ac:dyDescent="0.35"/>
  <cols>
    <col min="1" max="1" width="153.26953125" customWidth="1"/>
  </cols>
  <sheetData>
    <row r="1" spans="1:1" x14ac:dyDescent="0.35">
      <c r="A1" s="12" t="s">
        <v>315</v>
      </c>
    </row>
    <row r="2" spans="1:1" ht="158.75" customHeight="1" x14ac:dyDescent="0.35">
      <c r="A2" s="11" t="s">
        <v>316</v>
      </c>
    </row>
    <row r="3" spans="1:1" x14ac:dyDescent="0.35">
      <c r="A3" s="12" t="s">
        <v>317</v>
      </c>
    </row>
    <row r="4" spans="1:1" ht="152.25" customHeight="1" x14ac:dyDescent="0.35">
      <c r="A4" s="11" t="s">
        <v>318</v>
      </c>
    </row>
    <row r="7" spans="1:1" x14ac:dyDescent="0.35">
      <c r="A7" s="14" t="s">
        <v>319</v>
      </c>
    </row>
    <row r="8" spans="1:1" ht="43.5" x14ac:dyDescent="0.35">
      <c r="A8" s="13" t="s">
        <v>320</v>
      </c>
    </row>
    <row r="9" spans="1:1" ht="29" x14ac:dyDescent="0.35">
      <c r="A9" s="13" t="s">
        <v>321</v>
      </c>
    </row>
  </sheetData>
  <hyperlinks>
    <hyperlink ref="A8" r:id="rId1" display="https://doi.org/10.1016/j.jvolgeores.2021.107257" xr:uid="{3F7A4F1A-0429-4F44-A7DA-F521051C658C}"/>
    <hyperlink ref="A9" r:id="rId2" display="https://doi.org/10.1029/2022JF006930" xr:uid="{ED7A5372-46B7-4B87-938A-6161D622128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B67A3-3536-4AAD-A2FA-74C6EB8E71E8}">
  <dimension ref="A1:AE102"/>
  <sheetViews>
    <sheetView topLeftCell="A33" zoomScale="44" workbookViewId="0">
      <pane xSplit="1" topLeftCell="B1" activePane="topRight" state="frozen"/>
      <selection pane="topRight" activeCell="AE101" sqref="AE101"/>
    </sheetView>
  </sheetViews>
  <sheetFormatPr defaultRowHeight="14.5" x14ac:dyDescent="0.35"/>
  <cols>
    <col min="1" max="1" width="15.90625" customWidth="1"/>
    <col min="2" max="2" width="16.08984375" customWidth="1"/>
    <col min="3" max="3" width="15.08984375" customWidth="1"/>
    <col min="4" max="4" width="15.453125" customWidth="1"/>
    <col min="5" max="5" width="14.26953125" customWidth="1"/>
    <col min="6" max="6" width="13.90625" customWidth="1"/>
    <col min="8" max="8" width="15.453125" customWidth="1"/>
    <col min="11" max="12" width="14.6328125" customWidth="1"/>
    <col min="13" max="13" width="12.6328125" customWidth="1"/>
    <col min="14" max="14" width="12.08984375" customWidth="1"/>
    <col min="16" max="16" width="19.81640625" customWidth="1"/>
    <col min="17" max="17" width="14.54296875" customWidth="1"/>
    <col min="18" max="19" width="13.90625" customWidth="1"/>
    <col min="22" max="22" width="10.90625" customWidth="1"/>
    <col min="26" max="26" width="13" customWidth="1"/>
    <col min="27" max="27" width="13.1796875" customWidth="1"/>
    <col min="28" max="28" width="13.26953125" customWidth="1"/>
    <col min="31" max="31" width="12.90625" customWidth="1"/>
  </cols>
  <sheetData>
    <row r="1" spans="1:31" x14ac:dyDescent="0.35">
      <c r="A1" t="s">
        <v>356</v>
      </c>
    </row>
    <row r="2" spans="1:31" x14ac:dyDescent="0.35">
      <c r="A2" t="s">
        <v>357</v>
      </c>
    </row>
    <row r="3" spans="1:31" x14ac:dyDescent="0.35">
      <c r="A3" t="s">
        <v>360</v>
      </c>
    </row>
    <row r="6" spans="1:31" ht="43.5" x14ac:dyDescent="0.35">
      <c r="A6" s="18" t="s">
        <v>335</v>
      </c>
      <c r="B6" s="18" t="s">
        <v>332</v>
      </c>
      <c r="C6" s="18" t="s">
        <v>336</v>
      </c>
      <c r="D6" s="18" t="s">
        <v>337</v>
      </c>
      <c r="E6" s="18" t="s">
        <v>338</v>
      </c>
      <c r="F6" s="18" t="s">
        <v>339</v>
      </c>
      <c r="G6" s="18" t="s">
        <v>333</v>
      </c>
      <c r="H6" s="20" t="s">
        <v>340</v>
      </c>
      <c r="I6" s="18"/>
      <c r="J6" s="18" t="s">
        <v>362</v>
      </c>
      <c r="K6" s="18" t="s">
        <v>363</v>
      </c>
      <c r="L6" s="18"/>
      <c r="M6" s="18" t="s">
        <v>365</v>
      </c>
      <c r="N6" s="18" t="s">
        <v>364</v>
      </c>
      <c r="P6" s="18" t="s">
        <v>366</v>
      </c>
      <c r="Q6" s="18" t="s">
        <v>367</v>
      </c>
      <c r="R6" s="18" t="s">
        <v>368</v>
      </c>
      <c r="S6" s="18" t="s">
        <v>371</v>
      </c>
      <c r="T6" s="18" t="s">
        <v>354</v>
      </c>
      <c r="U6" s="18" t="s">
        <v>342</v>
      </c>
      <c r="V6" s="20" t="s">
        <v>369</v>
      </c>
      <c r="X6" s="18" t="s">
        <v>372</v>
      </c>
      <c r="Y6" s="18" t="s">
        <v>373</v>
      </c>
      <c r="Z6" s="18" t="s">
        <v>374</v>
      </c>
      <c r="AA6" s="18" t="s">
        <v>375</v>
      </c>
      <c r="AB6" s="18" t="s">
        <v>376</v>
      </c>
      <c r="AC6" s="18" t="s">
        <v>354</v>
      </c>
      <c r="AD6" s="18" t="s">
        <v>342</v>
      </c>
      <c r="AE6" s="20" t="s">
        <v>377</v>
      </c>
    </row>
    <row r="7" spans="1:31" x14ac:dyDescent="0.35">
      <c r="A7" s="33" t="s">
        <v>334</v>
      </c>
      <c r="B7" s="19">
        <v>0</v>
      </c>
      <c r="C7" s="19">
        <v>100</v>
      </c>
      <c r="D7" s="19">
        <v>0.1</v>
      </c>
      <c r="E7" s="19">
        <v>0</v>
      </c>
      <c r="F7" s="19">
        <v>0</v>
      </c>
      <c r="G7" s="19">
        <f>C7+E7</f>
        <v>100</v>
      </c>
      <c r="H7" s="19">
        <f>(D7/G7)^2</f>
        <v>9.9999999999999995E-7</v>
      </c>
      <c r="I7" s="19"/>
      <c r="J7">
        <v>3.29</v>
      </c>
      <c r="K7">
        <v>0.1</v>
      </c>
      <c r="M7">
        <v>8.5</v>
      </c>
      <c r="N7">
        <v>0.1</v>
      </c>
      <c r="P7" s="4" t="s">
        <v>168</v>
      </c>
      <c r="Q7">
        <f>(K7/J7)^2</f>
        <v>9.2386433976034967E-4</v>
      </c>
      <c r="R7">
        <f>(N7/M7)^2</f>
        <v>1.3840830449826988E-4</v>
      </c>
      <c r="S7">
        <f>H7</f>
        <v>9.9999999999999995E-7</v>
      </c>
      <c r="T7">
        <f>S7+R7+Q7</f>
        <v>1.0632726442586196E-3</v>
      </c>
      <c r="U7">
        <f>SQRT(T7)</f>
        <v>3.2607861694055003E-2</v>
      </c>
      <c r="V7">
        <f>U7</f>
        <v>3.2607861694055003E-2</v>
      </c>
    </row>
    <row r="8" spans="1:31" x14ac:dyDescent="0.35">
      <c r="A8" s="33"/>
      <c r="B8" s="19">
        <v>0.5</v>
      </c>
      <c r="C8" s="19">
        <v>100</v>
      </c>
      <c r="D8" s="19">
        <v>0.1</v>
      </c>
      <c r="E8" s="19">
        <v>0.5</v>
      </c>
      <c r="F8" s="19">
        <v>0.1</v>
      </c>
      <c r="G8" s="19">
        <f>C8+E8</f>
        <v>100.5</v>
      </c>
      <c r="H8" s="22">
        <f t="shared" ref="H8:H11" si="0">(D8/G8)^2</f>
        <v>9.9007450310635896E-7</v>
      </c>
      <c r="I8" s="19"/>
      <c r="J8">
        <v>4.1269999999999998</v>
      </c>
      <c r="K8">
        <v>0.1</v>
      </c>
      <c r="M8">
        <v>8.5</v>
      </c>
      <c r="N8">
        <v>0.1</v>
      </c>
      <c r="P8" t="s">
        <v>184</v>
      </c>
      <c r="Q8">
        <f t="shared" ref="Q8:Q71" si="1">(K8/J8)^2</f>
        <v>5.8712566115486813E-4</v>
      </c>
      <c r="R8">
        <f t="shared" ref="R8:R71" si="2">(N8/M8)^2</f>
        <v>1.3840830449826988E-4</v>
      </c>
      <c r="S8" s="29">
        <f>H8</f>
        <v>9.9007450310635896E-7</v>
      </c>
      <c r="T8">
        <f t="shared" ref="T8:T71" si="3">S8+R8+Q8</f>
        <v>7.2652404015624431E-4</v>
      </c>
      <c r="U8">
        <f t="shared" ref="U8:U71" si="4">SQRT(T8)</f>
        <v>2.6954109893599608E-2</v>
      </c>
      <c r="V8">
        <f t="shared" ref="V8:V71" si="5">U8</f>
        <v>2.6954109893599608E-2</v>
      </c>
    </row>
    <row r="9" spans="1:31" x14ac:dyDescent="0.35">
      <c r="A9" s="33"/>
      <c r="B9" s="19">
        <v>1</v>
      </c>
      <c r="C9" s="19">
        <v>100</v>
      </c>
      <c r="D9" s="19">
        <v>0.1</v>
      </c>
      <c r="E9" s="19">
        <v>1</v>
      </c>
      <c r="F9" s="19">
        <v>0.1</v>
      </c>
      <c r="G9" s="19">
        <f>C9+E9</f>
        <v>101</v>
      </c>
      <c r="H9" s="22">
        <f t="shared" si="0"/>
        <v>9.802960494069209E-7</v>
      </c>
      <c r="I9" s="19"/>
      <c r="J9">
        <v>4.3479999999999999</v>
      </c>
      <c r="K9">
        <v>0.1</v>
      </c>
      <c r="M9">
        <v>8.5</v>
      </c>
      <c r="N9">
        <v>0.1</v>
      </c>
      <c r="P9" t="s">
        <v>200</v>
      </c>
      <c r="Q9">
        <f t="shared" si="1"/>
        <v>5.2895768253906469E-4</v>
      </c>
      <c r="R9">
        <f t="shared" si="2"/>
        <v>1.3840830449826988E-4</v>
      </c>
      <c r="S9" s="29">
        <f>H9</f>
        <v>9.802960494069209E-7</v>
      </c>
      <c r="T9">
        <f t="shared" si="3"/>
        <v>6.6834628308674155E-4</v>
      </c>
      <c r="U9">
        <f t="shared" si="4"/>
        <v>2.5852394146127774E-2</v>
      </c>
      <c r="V9">
        <f t="shared" si="5"/>
        <v>2.5852394146127774E-2</v>
      </c>
    </row>
    <row r="10" spans="1:31" x14ac:dyDescent="0.35">
      <c r="A10" s="33"/>
      <c r="B10" s="19">
        <v>2.5</v>
      </c>
      <c r="C10" s="19">
        <v>100</v>
      </c>
      <c r="D10" s="19">
        <v>0.1</v>
      </c>
      <c r="E10" s="19">
        <v>2.5</v>
      </c>
      <c r="F10" s="19">
        <v>0.1</v>
      </c>
      <c r="G10" s="19">
        <f>C10+E10</f>
        <v>102.5</v>
      </c>
      <c r="H10" s="22">
        <f t="shared" si="0"/>
        <v>9.5181439619274262E-7</v>
      </c>
      <c r="I10" s="19"/>
      <c r="J10">
        <v>4.7030000000000003</v>
      </c>
      <c r="K10">
        <v>0.1</v>
      </c>
      <c r="M10">
        <v>8.5</v>
      </c>
      <c r="N10">
        <v>0.1</v>
      </c>
      <c r="P10" t="s">
        <v>216</v>
      </c>
      <c r="Q10">
        <f t="shared" si="1"/>
        <v>4.5211617269734635E-4</v>
      </c>
      <c r="R10">
        <f t="shared" si="2"/>
        <v>1.3840830449826988E-4</v>
      </c>
      <c r="S10" s="29">
        <f>H10</f>
        <v>9.5181439619274262E-7</v>
      </c>
      <c r="T10">
        <f t="shared" si="3"/>
        <v>5.9147629159180893E-4</v>
      </c>
      <c r="U10">
        <f t="shared" si="4"/>
        <v>2.4320285598483603E-2</v>
      </c>
      <c r="V10">
        <f t="shared" si="5"/>
        <v>2.4320285598483603E-2</v>
      </c>
    </row>
    <row r="11" spans="1:31" x14ac:dyDescent="0.35">
      <c r="A11" s="33"/>
      <c r="B11" s="19">
        <v>5</v>
      </c>
      <c r="C11" s="19">
        <v>100</v>
      </c>
      <c r="D11" s="19">
        <v>0.1</v>
      </c>
      <c r="E11" s="19">
        <v>5</v>
      </c>
      <c r="F11" s="19">
        <v>0.1</v>
      </c>
      <c r="G11" s="19">
        <f>C11+E11</f>
        <v>105</v>
      </c>
      <c r="H11" s="22">
        <f t="shared" si="0"/>
        <v>9.0702947845804985E-7</v>
      </c>
      <c r="I11" s="19"/>
      <c r="J11">
        <v>4.9089999999999998</v>
      </c>
      <c r="K11">
        <v>0.1</v>
      </c>
      <c r="M11">
        <v>8.5</v>
      </c>
      <c r="N11">
        <v>0.1</v>
      </c>
      <c r="P11" t="s">
        <v>232</v>
      </c>
      <c r="Q11">
        <f t="shared" si="1"/>
        <v>4.1496735804516527E-4</v>
      </c>
      <c r="R11">
        <f t="shared" si="2"/>
        <v>1.3840830449826988E-4</v>
      </c>
      <c r="S11" s="29">
        <f>H11</f>
        <v>9.0702947845804985E-7</v>
      </c>
      <c r="T11">
        <f t="shared" si="3"/>
        <v>5.5428269202189326E-4</v>
      </c>
      <c r="U11">
        <f t="shared" si="4"/>
        <v>2.3543209042564552E-2</v>
      </c>
      <c r="V11">
        <f t="shared" si="5"/>
        <v>2.3543209042564552E-2</v>
      </c>
    </row>
    <row r="13" spans="1:31" x14ac:dyDescent="0.35">
      <c r="A13" s="33" t="s">
        <v>324</v>
      </c>
      <c r="B13" s="19">
        <v>0</v>
      </c>
      <c r="C13" s="19">
        <v>100</v>
      </c>
      <c r="D13" s="19">
        <v>0.1</v>
      </c>
      <c r="E13" s="19">
        <v>0</v>
      </c>
      <c r="F13" s="19">
        <v>0</v>
      </c>
      <c r="G13" s="19">
        <f>C13+E13</f>
        <v>100</v>
      </c>
      <c r="H13" s="19">
        <f>(D13/G13)^2</f>
        <v>9.9999999999999995E-7</v>
      </c>
      <c r="J13">
        <v>2.6640000000000001</v>
      </c>
      <c r="K13">
        <v>0.1</v>
      </c>
      <c r="M13">
        <v>8.5</v>
      </c>
      <c r="N13">
        <v>0.1</v>
      </c>
      <c r="P13" s="4" t="s">
        <v>163</v>
      </c>
      <c r="Q13">
        <f t="shared" si="1"/>
        <v>1.4090667243820396E-3</v>
      </c>
      <c r="R13">
        <f t="shared" si="2"/>
        <v>1.3840830449826988E-4</v>
      </c>
      <c r="S13">
        <f t="shared" ref="S13:S71" si="6">H13</f>
        <v>9.9999999999999995E-7</v>
      </c>
      <c r="T13">
        <f t="shared" si="3"/>
        <v>1.5484750288803095E-3</v>
      </c>
      <c r="U13">
        <f t="shared" si="4"/>
        <v>3.9350667451522464E-2</v>
      </c>
      <c r="V13">
        <f t="shared" si="5"/>
        <v>3.9350667451522464E-2</v>
      </c>
      <c r="Y13">
        <v>48.575000000000003</v>
      </c>
      <c r="Z13">
        <v>0.1</v>
      </c>
      <c r="AA13">
        <f t="shared" ref="AA13:AA64" si="7">(Z13/Y13)^2</f>
        <v>4.2381310477798952E-6</v>
      </c>
      <c r="AB13">
        <f t="shared" ref="AB13:AB64" si="8">S13</f>
        <v>9.9999999999999995E-7</v>
      </c>
      <c r="AC13">
        <f t="shared" ref="AC13:AC64" si="9">AB13+AA13</f>
        <v>5.2381310477798949E-6</v>
      </c>
      <c r="AD13">
        <f t="shared" ref="AD13:AD64" si="10">SQRT(AC13)</f>
        <v>2.2886963642606449E-3</v>
      </c>
      <c r="AE13">
        <f>AD13</f>
        <v>2.2886963642606449E-3</v>
      </c>
    </row>
    <row r="14" spans="1:31" x14ac:dyDescent="0.35">
      <c r="A14" s="33"/>
      <c r="B14" s="19">
        <v>0.5</v>
      </c>
      <c r="C14" s="19">
        <v>100</v>
      </c>
      <c r="D14" s="19">
        <v>0.1</v>
      </c>
      <c r="E14" s="19">
        <v>0.5</v>
      </c>
      <c r="F14" s="19">
        <v>0.1</v>
      </c>
      <c r="G14" s="19">
        <f>C14+E14</f>
        <v>100.5</v>
      </c>
      <c r="H14" s="22">
        <f t="shared" ref="H14:H17" si="11">(D14/G14)^2</f>
        <v>9.9007450310635896E-7</v>
      </c>
      <c r="J14">
        <v>4.0359999999999996</v>
      </c>
      <c r="K14">
        <v>0.1</v>
      </c>
      <c r="M14">
        <v>8.5</v>
      </c>
      <c r="N14">
        <v>0.1</v>
      </c>
      <c r="P14" t="s">
        <v>179</v>
      </c>
      <c r="Q14">
        <f t="shared" si="1"/>
        <v>6.1390007278399282E-4</v>
      </c>
      <c r="R14">
        <f t="shared" si="2"/>
        <v>1.3840830449826988E-4</v>
      </c>
      <c r="S14" s="29">
        <f>H14</f>
        <v>9.9007450310635896E-7</v>
      </c>
      <c r="T14">
        <f t="shared" si="3"/>
        <v>7.53298451785369E-4</v>
      </c>
      <c r="U14">
        <f t="shared" si="4"/>
        <v>2.7446283023122985E-2</v>
      </c>
      <c r="V14">
        <f t="shared" si="5"/>
        <v>2.7446283023122985E-2</v>
      </c>
      <c r="Y14">
        <v>54.384</v>
      </c>
      <c r="Z14">
        <v>0.1</v>
      </c>
      <c r="AA14">
        <f t="shared" si="7"/>
        <v>3.3810975849896494E-6</v>
      </c>
      <c r="AB14">
        <f t="shared" si="8"/>
        <v>9.9007450310635896E-7</v>
      </c>
      <c r="AC14">
        <f t="shared" si="9"/>
        <v>4.3711720880960088E-6</v>
      </c>
      <c r="AD14">
        <f t="shared" si="10"/>
        <v>2.0907348201280834E-3</v>
      </c>
      <c r="AE14">
        <f>AD14</f>
        <v>2.0907348201280834E-3</v>
      </c>
    </row>
    <row r="15" spans="1:31" x14ac:dyDescent="0.35">
      <c r="A15" s="33"/>
      <c r="B15" s="19">
        <v>1</v>
      </c>
      <c r="C15" s="19">
        <v>100</v>
      </c>
      <c r="D15" s="19">
        <v>0.1</v>
      </c>
      <c r="E15" s="19">
        <v>1</v>
      </c>
      <c r="F15" s="19">
        <v>0.1</v>
      </c>
      <c r="G15" s="19">
        <f>C15+E15</f>
        <v>101</v>
      </c>
      <c r="H15" s="22">
        <f t="shared" si="11"/>
        <v>9.802960494069209E-7</v>
      </c>
      <c r="J15">
        <v>4.1779999999999999</v>
      </c>
      <c r="K15">
        <v>0.1</v>
      </c>
      <c r="M15">
        <v>8.5</v>
      </c>
      <c r="N15">
        <v>0.1</v>
      </c>
      <c r="P15" t="s">
        <v>195</v>
      </c>
      <c r="Q15">
        <f t="shared" si="1"/>
        <v>5.7287929822744284E-4</v>
      </c>
      <c r="R15">
        <f t="shared" si="2"/>
        <v>1.3840830449826988E-4</v>
      </c>
      <c r="S15" s="29">
        <f>H15</f>
        <v>9.802960494069209E-7</v>
      </c>
      <c r="T15">
        <f t="shared" si="3"/>
        <v>7.1226789877511958E-4</v>
      </c>
      <c r="U15">
        <f t="shared" si="4"/>
        <v>2.668834762167039E-2</v>
      </c>
      <c r="V15">
        <f t="shared" si="5"/>
        <v>2.668834762167039E-2</v>
      </c>
      <c r="Y15">
        <v>57.78</v>
      </c>
      <c r="Z15">
        <v>0.1</v>
      </c>
      <c r="AA15">
        <f t="shared" si="7"/>
        <v>2.9953317156145803E-6</v>
      </c>
      <c r="AB15">
        <f t="shared" si="8"/>
        <v>9.802960494069209E-7</v>
      </c>
      <c r="AC15">
        <f t="shared" si="9"/>
        <v>3.9756277650215014E-6</v>
      </c>
      <c r="AD15">
        <f t="shared" si="10"/>
        <v>1.9938976315301399E-3</v>
      </c>
      <c r="AE15">
        <f>AD15</f>
        <v>1.9938976315301399E-3</v>
      </c>
    </row>
    <row r="16" spans="1:31" x14ac:dyDescent="0.35">
      <c r="A16" s="33"/>
      <c r="B16" s="19">
        <v>2.5</v>
      </c>
      <c r="C16" s="19">
        <v>100</v>
      </c>
      <c r="D16" s="19">
        <v>0.1</v>
      </c>
      <c r="E16" s="19">
        <v>2.5</v>
      </c>
      <c r="F16" s="19">
        <v>0.1</v>
      </c>
      <c r="G16" s="19">
        <f>C16+E16</f>
        <v>102.5</v>
      </c>
      <c r="H16" s="22">
        <f t="shared" si="11"/>
        <v>9.5181439619274262E-7</v>
      </c>
      <c r="J16">
        <v>6.0709999999999997</v>
      </c>
      <c r="K16">
        <v>0.1</v>
      </c>
      <c r="M16">
        <v>8.5</v>
      </c>
      <c r="N16">
        <v>0.1</v>
      </c>
      <c r="P16" t="s">
        <v>211</v>
      </c>
      <c r="Q16">
        <f t="shared" si="1"/>
        <v>2.7131857926413573E-4</v>
      </c>
      <c r="R16">
        <f t="shared" si="2"/>
        <v>1.3840830449826988E-4</v>
      </c>
      <c r="S16" s="29">
        <f>H16</f>
        <v>9.5181439619274262E-7</v>
      </c>
      <c r="T16">
        <f t="shared" si="3"/>
        <v>4.1067869815859836E-4</v>
      </c>
      <c r="U16">
        <f t="shared" si="4"/>
        <v>2.026520905785574E-2</v>
      </c>
      <c r="V16">
        <f t="shared" si="5"/>
        <v>2.026520905785574E-2</v>
      </c>
      <c r="Y16">
        <v>88.35</v>
      </c>
      <c r="Z16">
        <v>0.1</v>
      </c>
      <c r="AA16">
        <f t="shared" si="7"/>
        <v>1.2811113897528385E-6</v>
      </c>
      <c r="AB16">
        <f t="shared" si="8"/>
        <v>9.5181439619274262E-7</v>
      </c>
      <c r="AC16">
        <f t="shared" si="9"/>
        <v>2.2329257859455811E-6</v>
      </c>
      <c r="AD16">
        <f t="shared" si="10"/>
        <v>1.4942977567893158E-3</v>
      </c>
      <c r="AE16">
        <f>AD16</f>
        <v>1.4942977567893158E-3</v>
      </c>
    </row>
    <row r="17" spans="1:31" x14ac:dyDescent="0.35">
      <c r="A17" s="33"/>
      <c r="B17" s="19">
        <v>5</v>
      </c>
      <c r="C17" s="19">
        <v>100</v>
      </c>
      <c r="D17" s="19">
        <v>0.1</v>
      </c>
      <c r="E17" s="19">
        <v>5</v>
      </c>
      <c r="F17" s="19">
        <v>0.1</v>
      </c>
      <c r="G17" s="19">
        <f>C17+E17</f>
        <v>105</v>
      </c>
      <c r="H17" s="22">
        <f t="shared" si="11"/>
        <v>9.0702947845804985E-7</v>
      </c>
      <c r="J17">
        <v>6.2009999999999996</v>
      </c>
      <c r="K17">
        <v>0.1</v>
      </c>
      <c r="M17">
        <v>8.5</v>
      </c>
      <c r="N17">
        <v>0.1</v>
      </c>
      <c r="P17" t="s">
        <v>227</v>
      </c>
      <c r="Q17">
        <f t="shared" si="1"/>
        <v>2.600617839182527E-4</v>
      </c>
      <c r="R17">
        <f t="shared" si="2"/>
        <v>1.3840830449826988E-4</v>
      </c>
      <c r="S17" s="29">
        <f>H17</f>
        <v>9.0702947845804985E-7</v>
      </c>
      <c r="T17">
        <f t="shared" si="3"/>
        <v>3.9937711789498064E-4</v>
      </c>
      <c r="U17">
        <f t="shared" si="4"/>
        <v>1.998442188042928E-2</v>
      </c>
      <c r="V17">
        <f t="shared" si="5"/>
        <v>1.998442188042928E-2</v>
      </c>
    </row>
    <row r="19" spans="1:31" x14ac:dyDescent="0.35">
      <c r="A19" s="32" t="s">
        <v>5</v>
      </c>
      <c r="B19">
        <v>0</v>
      </c>
      <c r="C19">
        <v>100</v>
      </c>
      <c r="D19">
        <v>0.1</v>
      </c>
      <c r="E19">
        <v>0</v>
      </c>
      <c r="F19">
        <v>0</v>
      </c>
      <c r="G19">
        <f>C19+E19</f>
        <v>100</v>
      </c>
      <c r="H19">
        <f>(D19/G19)^2</f>
        <v>9.9999999999999995E-7</v>
      </c>
      <c r="J19">
        <v>4.0060000000000002</v>
      </c>
      <c r="K19">
        <v>0.1</v>
      </c>
      <c r="M19">
        <v>8.5</v>
      </c>
      <c r="N19">
        <v>0.1</v>
      </c>
      <c r="P19" s="4" t="s">
        <v>169</v>
      </c>
      <c r="Q19">
        <f t="shared" si="1"/>
        <v>6.2312921032829183E-4</v>
      </c>
      <c r="R19">
        <f t="shared" si="2"/>
        <v>1.3840830449826988E-4</v>
      </c>
      <c r="S19">
        <f t="shared" si="6"/>
        <v>9.9999999999999995E-7</v>
      </c>
      <c r="T19">
        <f t="shared" si="3"/>
        <v>7.6253751482656168E-4</v>
      </c>
      <c r="U19">
        <f t="shared" si="4"/>
        <v>2.7614081821175255E-2</v>
      </c>
      <c r="V19">
        <f t="shared" si="5"/>
        <v>2.7614081821175255E-2</v>
      </c>
    </row>
    <row r="20" spans="1:31" x14ac:dyDescent="0.35">
      <c r="A20" s="32"/>
      <c r="B20">
        <v>0.5</v>
      </c>
      <c r="C20">
        <v>100</v>
      </c>
      <c r="D20">
        <v>0.1</v>
      </c>
      <c r="E20">
        <v>0.5</v>
      </c>
      <c r="F20">
        <v>0.1</v>
      </c>
      <c r="G20">
        <f>C20+E20</f>
        <v>100.5</v>
      </c>
      <c r="H20">
        <f t="shared" ref="H20:H23" si="12">(D20/G20)^2</f>
        <v>9.9007450310635896E-7</v>
      </c>
      <c r="J20">
        <v>4.8570000000000002</v>
      </c>
      <c r="K20">
        <v>0.1</v>
      </c>
      <c r="M20">
        <v>8.5</v>
      </c>
      <c r="N20">
        <v>0.1</v>
      </c>
      <c r="P20" t="s">
        <v>185</v>
      </c>
      <c r="Q20">
        <f t="shared" si="1"/>
        <v>4.2390036747498962E-4</v>
      </c>
      <c r="R20">
        <f t="shared" si="2"/>
        <v>1.3840830449826988E-4</v>
      </c>
      <c r="S20">
        <f>H20</f>
        <v>9.9007450310635896E-7</v>
      </c>
      <c r="T20">
        <f t="shared" si="3"/>
        <v>5.632987464763658E-4</v>
      </c>
      <c r="U20">
        <f t="shared" si="4"/>
        <v>2.3733915531921102E-2</v>
      </c>
      <c r="V20">
        <f t="shared" si="5"/>
        <v>2.3733915531921102E-2</v>
      </c>
    </row>
    <row r="21" spans="1:31" x14ac:dyDescent="0.35">
      <c r="A21" s="32"/>
      <c r="B21">
        <v>1</v>
      </c>
      <c r="C21">
        <v>100</v>
      </c>
      <c r="D21">
        <v>0.1</v>
      </c>
      <c r="E21">
        <v>1</v>
      </c>
      <c r="F21">
        <v>0.1</v>
      </c>
      <c r="G21">
        <f>C21+E21</f>
        <v>101</v>
      </c>
      <c r="H21">
        <f t="shared" si="12"/>
        <v>9.802960494069209E-7</v>
      </c>
      <c r="J21">
        <v>4.7169999999999996</v>
      </c>
      <c r="K21">
        <v>0.1</v>
      </c>
      <c r="M21">
        <v>8.5</v>
      </c>
      <c r="N21">
        <v>0.1</v>
      </c>
      <c r="P21" t="s">
        <v>201</v>
      </c>
      <c r="Q21">
        <f t="shared" si="1"/>
        <v>4.4943640450157308E-4</v>
      </c>
      <c r="R21">
        <f t="shared" si="2"/>
        <v>1.3840830449826988E-4</v>
      </c>
      <c r="S21">
        <f>H21</f>
        <v>9.802960494069209E-7</v>
      </c>
      <c r="T21">
        <f t="shared" si="3"/>
        <v>5.8882500504924993E-4</v>
      </c>
      <c r="U21">
        <f t="shared" si="4"/>
        <v>2.4265716660532611E-2</v>
      </c>
      <c r="V21">
        <f t="shared" si="5"/>
        <v>2.4265716660532611E-2</v>
      </c>
    </row>
    <row r="22" spans="1:31" x14ac:dyDescent="0.35">
      <c r="A22" s="32"/>
      <c r="B22">
        <v>2.5</v>
      </c>
      <c r="C22">
        <v>100</v>
      </c>
      <c r="D22">
        <v>0.1</v>
      </c>
      <c r="E22">
        <v>2.5</v>
      </c>
      <c r="F22">
        <v>0.1</v>
      </c>
      <c r="G22">
        <f>C22+E22</f>
        <v>102.5</v>
      </c>
      <c r="H22">
        <f t="shared" si="12"/>
        <v>9.5181439619274262E-7</v>
      </c>
      <c r="I22" s="8"/>
      <c r="J22">
        <v>5.2450000000000001</v>
      </c>
      <c r="K22">
        <v>0.1</v>
      </c>
      <c r="M22">
        <v>8.5</v>
      </c>
      <c r="N22">
        <v>0.1</v>
      </c>
      <c r="P22" t="s">
        <v>217</v>
      </c>
      <c r="Q22">
        <f t="shared" si="1"/>
        <v>3.6350384996015092E-4</v>
      </c>
      <c r="R22">
        <f t="shared" si="2"/>
        <v>1.3840830449826988E-4</v>
      </c>
      <c r="S22">
        <f>H22</f>
        <v>9.5181439619274262E-7</v>
      </c>
      <c r="T22">
        <f t="shared" si="3"/>
        <v>5.028639688546136E-4</v>
      </c>
      <c r="U22">
        <f t="shared" si="4"/>
        <v>2.242462862244576E-2</v>
      </c>
      <c r="V22">
        <f t="shared" si="5"/>
        <v>2.242462862244576E-2</v>
      </c>
    </row>
    <row r="23" spans="1:31" x14ac:dyDescent="0.35">
      <c r="A23" s="32"/>
      <c r="B23">
        <v>5</v>
      </c>
      <c r="C23">
        <v>100</v>
      </c>
      <c r="D23">
        <v>0.1</v>
      </c>
      <c r="E23">
        <v>5</v>
      </c>
      <c r="F23">
        <v>0.1</v>
      </c>
      <c r="G23">
        <f>C23+E23</f>
        <v>105</v>
      </c>
      <c r="H23">
        <f t="shared" si="12"/>
        <v>9.0702947845804985E-7</v>
      </c>
      <c r="I23" s="17"/>
      <c r="J23">
        <v>5.2789999999999999</v>
      </c>
      <c r="K23">
        <v>0.1</v>
      </c>
      <c r="M23">
        <v>8.5</v>
      </c>
      <c r="N23">
        <v>0.1</v>
      </c>
      <c r="P23" t="s">
        <v>233</v>
      </c>
      <c r="Q23">
        <f t="shared" si="1"/>
        <v>3.5883655285674987E-4</v>
      </c>
      <c r="R23">
        <f t="shared" si="2"/>
        <v>1.3840830449826988E-4</v>
      </c>
      <c r="S23">
        <f>H23</f>
        <v>9.0702947845804985E-7</v>
      </c>
      <c r="T23">
        <f t="shared" si="3"/>
        <v>4.9815188683347781E-4</v>
      </c>
      <c r="U23">
        <f t="shared" si="4"/>
        <v>2.2319316450856594E-2</v>
      </c>
      <c r="V23">
        <f t="shared" si="5"/>
        <v>2.2319316450856594E-2</v>
      </c>
    </row>
    <row r="24" spans="1:31" x14ac:dyDescent="0.35">
      <c r="I24" s="8"/>
    </row>
    <row r="25" spans="1:31" x14ac:dyDescent="0.35">
      <c r="A25" s="32" t="s">
        <v>325</v>
      </c>
      <c r="B25">
        <v>0</v>
      </c>
      <c r="C25">
        <v>100</v>
      </c>
      <c r="D25">
        <v>0.1</v>
      </c>
      <c r="E25">
        <v>0</v>
      </c>
      <c r="F25">
        <v>0</v>
      </c>
      <c r="G25">
        <f>C25+E25</f>
        <v>100</v>
      </c>
      <c r="H25">
        <f>(D25/G25)^2</f>
        <v>9.9999999999999995E-7</v>
      </c>
      <c r="I25" s="8"/>
      <c r="J25">
        <v>2.8140000000000001</v>
      </c>
      <c r="K25">
        <v>0.1</v>
      </c>
      <c r="M25">
        <v>8.5</v>
      </c>
      <c r="N25">
        <v>0.1</v>
      </c>
      <c r="P25" s="4" t="s">
        <v>167</v>
      </c>
      <c r="Q25">
        <f t="shared" si="1"/>
        <v>1.2628501315132129E-3</v>
      </c>
      <c r="R25">
        <f t="shared" si="2"/>
        <v>1.3840830449826988E-4</v>
      </c>
      <c r="S25">
        <f t="shared" si="6"/>
        <v>9.9999999999999995E-7</v>
      </c>
      <c r="T25">
        <f t="shared" si="3"/>
        <v>1.4022584360114828E-3</v>
      </c>
      <c r="U25">
        <f t="shared" si="4"/>
        <v>3.7446741327003111E-2</v>
      </c>
      <c r="V25">
        <f t="shared" si="5"/>
        <v>3.7446741327003111E-2</v>
      </c>
    </row>
    <row r="26" spans="1:31" x14ac:dyDescent="0.35">
      <c r="A26" s="32"/>
      <c r="B26">
        <v>0.5</v>
      </c>
      <c r="C26">
        <v>100</v>
      </c>
      <c r="D26">
        <v>0.1</v>
      </c>
      <c r="E26">
        <v>0.5</v>
      </c>
      <c r="F26">
        <v>0.1</v>
      </c>
      <c r="G26">
        <f>C26+E26</f>
        <v>100.5</v>
      </c>
      <c r="H26">
        <f t="shared" ref="H26:H29" si="13">(D26/G26)^2</f>
        <v>9.9007450310635896E-7</v>
      </c>
      <c r="I26" s="8"/>
      <c r="J26">
        <v>3.9860000000000002</v>
      </c>
      <c r="K26">
        <v>0.1</v>
      </c>
      <c r="M26">
        <v>8.5</v>
      </c>
      <c r="N26">
        <v>0.1</v>
      </c>
      <c r="P26" t="s">
        <v>183</v>
      </c>
      <c r="Q26">
        <f t="shared" si="1"/>
        <v>6.2939807640842286E-4</v>
      </c>
      <c r="R26">
        <f t="shared" si="2"/>
        <v>1.3840830449826988E-4</v>
      </c>
      <c r="S26">
        <f t="shared" si="6"/>
        <v>9.9007450310635896E-7</v>
      </c>
      <c r="T26">
        <f t="shared" si="3"/>
        <v>7.6879645540979904E-4</v>
      </c>
      <c r="U26">
        <f t="shared" si="4"/>
        <v>2.7727179002015316E-2</v>
      </c>
      <c r="V26">
        <f t="shared" si="5"/>
        <v>2.7727179002015316E-2</v>
      </c>
    </row>
    <row r="27" spans="1:31" x14ac:dyDescent="0.35">
      <c r="A27" s="32"/>
      <c r="B27">
        <v>1</v>
      </c>
      <c r="C27">
        <v>100</v>
      </c>
      <c r="D27">
        <v>0.1</v>
      </c>
      <c r="E27">
        <v>1</v>
      </c>
      <c r="F27">
        <v>0.1</v>
      </c>
      <c r="G27">
        <f>C27+E27</f>
        <v>101</v>
      </c>
      <c r="H27">
        <f t="shared" si="13"/>
        <v>9.802960494069209E-7</v>
      </c>
      <c r="I27" s="8"/>
      <c r="J27">
        <v>3.343</v>
      </c>
      <c r="K27">
        <v>0.1</v>
      </c>
      <c r="M27">
        <v>8.5</v>
      </c>
      <c r="N27">
        <v>0.1</v>
      </c>
      <c r="P27" t="s">
        <v>199</v>
      </c>
      <c r="Q27">
        <f t="shared" si="1"/>
        <v>8.9480261951677272E-4</v>
      </c>
      <c r="R27">
        <f t="shared" si="2"/>
        <v>1.3840830449826988E-4</v>
      </c>
      <c r="S27">
        <f t="shared" si="6"/>
        <v>9.802960494069209E-7</v>
      </c>
      <c r="T27">
        <f t="shared" si="3"/>
        <v>1.0341912200644496E-3</v>
      </c>
      <c r="U27">
        <f t="shared" si="4"/>
        <v>3.2158843574737722E-2</v>
      </c>
      <c r="V27">
        <f t="shared" si="5"/>
        <v>3.2158843574737722E-2</v>
      </c>
    </row>
    <row r="28" spans="1:31" x14ac:dyDescent="0.35">
      <c r="A28" s="32"/>
      <c r="B28">
        <v>2.5</v>
      </c>
      <c r="C28">
        <v>100</v>
      </c>
      <c r="D28">
        <v>0.1</v>
      </c>
      <c r="E28">
        <v>2.5</v>
      </c>
      <c r="F28">
        <v>0.1</v>
      </c>
      <c r="G28">
        <f>C28+E28</f>
        <v>102.5</v>
      </c>
      <c r="H28">
        <f t="shared" si="13"/>
        <v>9.5181439619274262E-7</v>
      </c>
      <c r="I28" s="17"/>
      <c r="J28">
        <v>3.8239999999999998</v>
      </c>
      <c r="K28">
        <v>0.1</v>
      </c>
      <c r="M28">
        <v>8.5</v>
      </c>
      <c r="N28">
        <v>0.1</v>
      </c>
      <c r="P28" t="s">
        <v>215</v>
      </c>
      <c r="Q28">
        <f t="shared" si="1"/>
        <v>6.838553246616832E-4</v>
      </c>
      <c r="R28">
        <f t="shared" si="2"/>
        <v>1.3840830449826988E-4</v>
      </c>
      <c r="S28">
        <f t="shared" si="6"/>
        <v>9.5181439619274262E-7</v>
      </c>
      <c r="T28">
        <f t="shared" si="3"/>
        <v>8.2321544355614578E-4</v>
      </c>
      <c r="U28">
        <f t="shared" si="4"/>
        <v>2.869173127498837E-2</v>
      </c>
      <c r="V28">
        <f t="shared" si="5"/>
        <v>2.869173127498837E-2</v>
      </c>
    </row>
    <row r="29" spans="1:31" x14ac:dyDescent="0.35">
      <c r="A29" s="32"/>
      <c r="B29">
        <v>5</v>
      </c>
      <c r="C29">
        <v>100</v>
      </c>
      <c r="D29">
        <v>0.1</v>
      </c>
      <c r="E29">
        <v>5</v>
      </c>
      <c r="F29">
        <v>0.1</v>
      </c>
      <c r="G29">
        <f>C29+E29</f>
        <v>105</v>
      </c>
      <c r="H29">
        <f t="shared" si="13"/>
        <v>9.0702947845804985E-7</v>
      </c>
      <c r="I29" s="8"/>
      <c r="J29">
        <v>4.665</v>
      </c>
      <c r="K29">
        <v>0.1</v>
      </c>
      <c r="M29">
        <v>8.5</v>
      </c>
      <c r="N29">
        <v>0.1</v>
      </c>
      <c r="P29" t="s">
        <v>231</v>
      </c>
      <c r="Q29">
        <f t="shared" si="1"/>
        <v>4.5951183759932634E-4</v>
      </c>
      <c r="R29">
        <f t="shared" si="2"/>
        <v>1.3840830449826988E-4</v>
      </c>
      <c r="S29">
        <f t="shared" si="6"/>
        <v>9.0702947845804985E-7</v>
      </c>
      <c r="T29">
        <f t="shared" si="3"/>
        <v>5.9882717157605427E-4</v>
      </c>
      <c r="U29">
        <f t="shared" si="4"/>
        <v>2.4470945457338879E-2</v>
      </c>
      <c r="V29">
        <f t="shared" si="5"/>
        <v>2.4470945457338879E-2</v>
      </c>
    </row>
    <row r="30" spans="1:31" x14ac:dyDescent="0.35">
      <c r="I30" s="8"/>
    </row>
    <row r="31" spans="1:31" x14ac:dyDescent="0.35">
      <c r="A31" s="32" t="s">
        <v>7</v>
      </c>
      <c r="B31">
        <v>0</v>
      </c>
      <c r="C31">
        <v>100</v>
      </c>
      <c r="D31">
        <v>0.1</v>
      </c>
      <c r="E31">
        <v>0</v>
      </c>
      <c r="F31">
        <v>0</v>
      </c>
      <c r="G31">
        <f>C31+E31</f>
        <v>100</v>
      </c>
      <c r="H31">
        <f>(D31/G31)^2</f>
        <v>9.9999999999999995E-7</v>
      </c>
      <c r="I31" s="8"/>
      <c r="J31">
        <v>1.3819999999999999</v>
      </c>
      <c r="K31">
        <v>0.1</v>
      </c>
      <c r="M31">
        <v>8.5</v>
      </c>
      <c r="N31">
        <v>0.1</v>
      </c>
      <c r="P31" s="4" t="s">
        <v>155</v>
      </c>
      <c r="Q31">
        <f t="shared" si="1"/>
        <v>5.2358104301532433E-3</v>
      </c>
      <c r="R31">
        <f t="shared" si="2"/>
        <v>1.3840830449826988E-4</v>
      </c>
      <c r="S31">
        <f t="shared" si="6"/>
        <v>9.9999999999999995E-7</v>
      </c>
      <c r="T31">
        <f t="shared" si="3"/>
        <v>5.3752187346515134E-3</v>
      </c>
      <c r="U31">
        <f t="shared" si="4"/>
        <v>7.3315883235841289E-2</v>
      </c>
      <c r="V31">
        <f t="shared" si="5"/>
        <v>7.3315883235841289E-2</v>
      </c>
      <c r="Y31">
        <v>31.9</v>
      </c>
      <c r="Z31">
        <v>0.1</v>
      </c>
      <c r="AA31">
        <f t="shared" si="7"/>
        <v>9.8269474553119586E-6</v>
      </c>
      <c r="AB31">
        <f t="shared" si="8"/>
        <v>9.9999999999999995E-7</v>
      </c>
      <c r="AC31">
        <f t="shared" si="9"/>
        <v>1.0826947455311959E-5</v>
      </c>
      <c r="AD31">
        <f t="shared" si="10"/>
        <v>3.2904327155120431E-3</v>
      </c>
      <c r="AE31">
        <f>AD31</f>
        <v>3.2904327155120431E-3</v>
      </c>
    </row>
    <row r="32" spans="1:31" x14ac:dyDescent="0.35">
      <c r="A32" s="32"/>
      <c r="B32">
        <v>0.5</v>
      </c>
      <c r="C32">
        <v>100</v>
      </c>
      <c r="D32">
        <v>0.1</v>
      </c>
      <c r="E32">
        <v>0.5</v>
      </c>
      <c r="F32">
        <v>0.1</v>
      </c>
      <c r="G32">
        <f>C32+E32</f>
        <v>100.5</v>
      </c>
      <c r="H32">
        <f t="shared" ref="H32:H35" si="14">(D32/G32)^2</f>
        <v>9.9007450310635896E-7</v>
      </c>
      <c r="I32" s="8"/>
      <c r="J32">
        <v>5.8680000000000003</v>
      </c>
      <c r="K32">
        <v>0.1</v>
      </c>
      <c r="M32">
        <v>8.5</v>
      </c>
      <c r="N32">
        <v>0.1</v>
      </c>
      <c r="P32" t="s">
        <v>171</v>
      </c>
      <c r="Q32">
        <f t="shared" si="1"/>
        <v>2.9041549861553127E-4</v>
      </c>
      <c r="R32">
        <f t="shared" si="2"/>
        <v>1.3840830449826988E-4</v>
      </c>
      <c r="S32">
        <f t="shared" si="6"/>
        <v>9.9007450310635896E-7</v>
      </c>
      <c r="T32">
        <f t="shared" si="3"/>
        <v>4.298138776169075E-4</v>
      </c>
      <c r="U32">
        <f t="shared" si="4"/>
        <v>2.0731953058429096E-2</v>
      </c>
      <c r="V32">
        <f t="shared" si="5"/>
        <v>2.0731953058429096E-2</v>
      </c>
      <c r="Y32">
        <v>66.3</v>
      </c>
      <c r="Z32">
        <v>0.1</v>
      </c>
      <c r="AA32">
        <f t="shared" si="7"/>
        <v>2.2749556952378356E-6</v>
      </c>
      <c r="AB32">
        <f t="shared" si="8"/>
        <v>9.9007450310635896E-7</v>
      </c>
      <c r="AC32">
        <f t="shared" si="9"/>
        <v>3.2650301983441945E-6</v>
      </c>
      <c r="AD32">
        <f t="shared" si="10"/>
        <v>1.8069394561922086E-3</v>
      </c>
      <c r="AE32">
        <f>AD32</f>
        <v>1.8069394561922086E-3</v>
      </c>
    </row>
    <row r="33" spans="1:31" x14ac:dyDescent="0.35">
      <c r="A33" s="32"/>
      <c r="B33">
        <v>1</v>
      </c>
      <c r="C33">
        <v>100</v>
      </c>
      <c r="D33">
        <v>0.1</v>
      </c>
      <c r="E33">
        <v>1</v>
      </c>
      <c r="F33">
        <v>0.1</v>
      </c>
      <c r="G33">
        <f>C33+E33</f>
        <v>101</v>
      </c>
      <c r="H33">
        <f t="shared" si="14"/>
        <v>9.802960494069209E-7</v>
      </c>
      <c r="J33">
        <v>5.8920000000000003</v>
      </c>
      <c r="K33">
        <v>0.1</v>
      </c>
      <c r="M33">
        <v>8.5</v>
      </c>
      <c r="N33">
        <v>0.1</v>
      </c>
      <c r="P33" t="s">
        <v>187</v>
      </c>
      <c r="Q33">
        <f t="shared" si="1"/>
        <v>2.880544067945813E-4</v>
      </c>
      <c r="R33">
        <f t="shared" si="2"/>
        <v>1.3840830449826988E-4</v>
      </c>
      <c r="S33">
        <f t="shared" si="6"/>
        <v>9.802960494069209E-7</v>
      </c>
      <c r="T33">
        <f t="shared" si="3"/>
        <v>4.274430073422581E-4</v>
      </c>
      <c r="U33">
        <f t="shared" si="4"/>
        <v>2.0674694854876531E-2</v>
      </c>
      <c r="V33">
        <f t="shared" si="5"/>
        <v>2.0674694854876531E-2</v>
      </c>
      <c r="Y33">
        <v>62.4</v>
      </c>
      <c r="Z33">
        <v>0.1</v>
      </c>
      <c r="AA33">
        <f t="shared" si="7"/>
        <v>2.568211702827088E-6</v>
      </c>
      <c r="AB33">
        <f t="shared" si="8"/>
        <v>9.802960494069209E-7</v>
      </c>
      <c r="AC33">
        <f t="shared" si="9"/>
        <v>3.5485077522340091E-6</v>
      </c>
      <c r="AD33">
        <f t="shared" si="10"/>
        <v>1.8837483250779572E-3</v>
      </c>
      <c r="AE33">
        <f>AD33</f>
        <v>1.8837483250779572E-3</v>
      </c>
    </row>
    <row r="34" spans="1:31" x14ac:dyDescent="0.35">
      <c r="A34" s="32"/>
      <c r="B34">
        <v>2.5</v>
      </c>
      <c r="C34">
        <v>100</v>
      </c>
      <c r="D34">
        <v>0.1</v>
      </c>
      <c r="E34">
        <v>2.5</v>
      </c>
      <c r="F34">
        <v>0.1</v>
      </c>
      <c r="G34">
        <f>C34+E34</f>
        <v>102.5</v>
      </c>
      <c r="H34">
        <f t="shared" si="14"/>
        <v>9.5181439619274262E-7</v>
      </c>
      <c r="I34" s="8"/>
      <c r="J34">
        <v>6.0869999999999997</v>
      </c>
      <c r="K34">
        <v>0.1</v>
      </c>
      <c r="M34">
        <v>8.5</v>
      </c>
      <c r="N34">
        <v>0.1</v>
      </c>
      <c r="P34" t="s">
        <v>203</v>
      </c>
      <c r="Q34">
        <f t="shared" si="1"/>
        <v>2.6989410353985287E-4</v>
      </c>
      <c r="R34">
        <f t="shared" si="2"/>
        <v>1.3840830449826988E-4</v>
      </c>
      <c r="S34">
        <f t="shared" si="6"/>
        <v>9.5181439619274262E-7</v>
      </c>
      <c r="T34">
        <f t="shared" si="3"/>
        <v>4.092542224343155E-4</v>
      </c>
      <c r="U34">
        <f t="shared" si="4"/>
        <v>2.0230032684954206E-2</v>
      </c>
      <c r="V34">
        <f t="shared" si="5"/>
        <v>2.0230032684954206E-2</v>
      </c>
      <c r="Y34">
        <v>56.38</v>
      </c>
      <c r="Z34">
        <v>0.1</v>
      </c>
      <c r="AA34">
        <f t="shared" si="7"/>
        <v>3.1459358095707173E-6</v>
      </c>
      <c r="AB34">
        <f t="shared" si="8"/>
        <v>9.5181439619274262E-7</v>
      </c>
      <c r="AC34">
        <f t="shared" si="9"/>
        <v>4.0977502057634601E-6</v>
      </c>
      <c r="AD34">
        <f t="shared" si="10"/>
        <v>2.0242900498109108E-3</v>
      </c>
      <c r="AE34">
        <f>AD34</f>
        <v>2.0242900498109108E-3</v>
      </c>
    </row>
    <row r="35" spans="1:31" x14ac:dyDescent="0.35">
      <c r="A35" s="32"/>
      <c r="B35">
        <v>5</v>
      </c>
      <c r="C35">
        <v>100</v>
      </c>
      <c r="D35">
        <v>0.1</v>
      </c>
      <c r="E35">
        <v>5</v>
      </c>
      <c r="F35">
        <v>0.1</v>
      </c>
      <c r="G35">
        <f>C35+E35</f>
        <v>105</v>
      </c>
      <c r="H35">
        <f t="shared" si="14"/>
        <v>9.0702947845804985E-7</v>
      </c>
      <c r="I35" s="17"/>
      <c r="J35">
        <v>5.7350000000000003</v>
      </c>
      <c r="K35">
        <v>0.1</v>
      </c>
      <c r="M35">
        <v>8.5</v>
      </c>
      <c r="N35">
        <v>0.1</v>
      </c>
      <c r="P35" t="s">
        <v>219</v>
      </c>
      <c r="Q35">
        <f t="shared" si="1"/>
        <v>3.0404170235989562E-4</v>
      </c>
      <c r="R35">
        <f t="shared" si="2"/>
        <v>1.3840830449826988E-4</v>
      </c>
      <c r="S35">
        <f t="shared" si="6"/>
        <v>9.0702947845804985E-7</v>
      </c>
      <c r="T35">
        <f t="shared" si="3"/>
        <v>4.4335703633662356E-4</v>
      </c>
      <c r="U35">
        <f t="shared" si="4"/>
        <v>2.1056045125726331E-2</v>
      </c>
      <c r="V35">
        <f t="shared" si="5"/>
        <v>2.1056045125726331E-2</v>
      </c>
    </row>
    <row r="36" spans="1:31" x14ac:dyDescent="0.35">
      <c r="I36" s="8"/>
    </row>
    <row r="37" spans="1:31" x14ac:dyDescent="0.35">
      <c r="A37" s="32" t="s">
        <v>326</v>
      </c>
      <c r="B37">
        <v>0</v>
      </c>
      <c r="C37">
        <v>100</v>
      </c>
      <c r="D37">
        <v>0.1</v>
      </c>
      <c r="E37">
        <v>0</v>
      </c>
      <c r="F37">
        <v>0</v>
      </c>
      <c r="G37">
        <f>C37+E37</f>
        <v>100</v>
      </c>
      <c r="H37">
        <f>(D37/G37)^2</f>
        <v>9.9999999999999995E-7</v>
      </c>
      <c r="I37" s="8"/>
      <c r="J37">
        <v>2.4249999999999998</v>
      </c>
      <c r="K37">
        <v>0.1</v>
      </c>
      <c r="M37">
        <v>8.5</v>
      </c>
      <c r="N37">
        <v>0.1</v>
      </c>
      <c r="P37" s="4" t="s">
        <v>158</v>
      </c>
      <c r="Q37">
        <f t="shared" si="1"/>
        <v>1.70049952173451E-3</v>
      </c>
      <c r="R37">
        <f t="shared" si="2"/>
        <v>1.3840830449826988E-4</v>
      </c>
      <c r="S37">
        <f t="shared" si="6"/>
        <v>9.9999999999999995E-7</v>
      </c>
      <c r="T37">
        <f t="shared" si="3"/>
        <v>1.8399078262327799E-3</v>
      </c>
      <c r="U37">
        <f t="shared" si="4"/>
        <v>4.2894146759584577E-2</v>
      </c>
      <c r="V37">
        <f t="shared" si="5"/>
        <v>4.2894146759584577E-2</v>
      </c>
      <c r="Y37">
        <v>40.938000000000002</v>
      </c>
      <c r="Z37">
        <v>0.1</v>
      </c>
      <c r="AA37">
        <f t="shared" si="7"/>
        <v>5.9668724824765555E-6</v>
      </c>
      <c r="AB37">
        <f t="shared" si="8"/>
        <v>9.9999999999999995E-7</v>
      </c>
      <c r="AC37">
        <f t="shared" si="9"/>
        <v>6.9668724824765552E-6</v>
      </c>
      <c r="AD37">
        <f t="shared" si="10"/>
        <v>2.639483374161799E-3</v>
      </c>
      <c r="AE37">
        <f>AD37</f>
        <v>2.639483374161799E-3</v>
      </c>
    </row>
    <row r="38" spans="1:31" x14ac:dyDescent="0.35">
      <c r="A38" s="32"/>
      <c r="B38">
        <v>0.5</v>
      </c>
      <c r="C38">
        <v>100</v>
      </c>
      <c r="D38">
        <v>0.1</v>
      </c>
      <c r="E38">
        <v>0.5</v>
      </c>
      <c r="F38">
        <v>0.1</v>
      </c>
      <c r="G38">
        <f>C38+E38</f>
        <v>100.5</v>
      </c>
      <c r="H38">
        <f t="shared" ref="H38:H41" si="15">(D38/G38)^2</f>
        <v>9.9007450310635896E-7</v>
      </c>
      <c r="I38" s="17"/>
      <c r="J38">
        <v>4.2309999999999999</v>
      </c>
      <c r="K38">
        <v>0.1</v>
      </c>
      <c r="M38">
        <v>8.5</v>
      </c>
      <c r="N38">
        <v>0.1</v>
      </c>
      <c r="P38" t="s">
        <v>174</v>
      </c>
      <c r="Q38">
        <f t="shared" si="1"/>
        <v>5.5861674427994611E-4</v>
      </c>
      <c r="R38">
        <f t="shared" si="2"/>
        <v>1.3840830449826988E-4</v>
      </c>
      <c r="S38">
        <f t="shared" si="6"/>
        <v>9.9007450310635896E-7</v>
      </c>
      <c r="T38">
        <f t="shared" si="3"/>
        <v>6.980151232813224E-4</v>
      </c>
      <c r="U38">
        <f t="shared" si="4"/>
        <v>2.6419975838015492E-2</v>
      </c>
      <c r="V38">
        <f t="shared" si="5"/>
        <v>2.6419975838015492E-2</v>
      </c>
      <c r="Y38">
        <v>68.307000000000002</v>
      </c>
      <c r="Z38">
        <v>0.1</v>
      </c>
      <c r="AA38">
        <f t="shared" si="7"/>
        <v>2.1432339314959709E-6</v>
      </c>
      <c r="AB38">
        <f t="shared" si="8"/>
        <v>9.9007450310635896E-7</v>
      </c>
      <c r="AC38">
        <f t="shared" si="9"/>
        <v>3.1333084346023298E-6</v>
      </c>
      <c r="AD38">
        <f t="shared" si="10"/>
        <v>1.7701153732461424E-3</v>
      </c>
      <c r="AE38">
        <f>AD38</f>
        <v>1.7701153732461424E-3</v>
      </c>
    </row>
    <row r="39" spans="1:31" x14ac:dyDescent="0.35">
      <c r="A39" s="32"/>
      <c r="B39">
        <v>1</v>
      </c>
      <c r="C39">
        <v>100</v>
      </c>
      <c r="D39">
        <v>0.1</v>
      </c>
      <c r="E39">
        <v>1</v>
      </c>
      <c r="F39">
        <v>0.1</v>
      </c>
      <c r="G39">
        <f>C39+E39</f>
        <v>101</v>
      </c>
      <c r="H39">
        <f t="shared" si="15"/>
        <v>9.802960494069209E-7</v>
      </c>
      <c r="I39" s="8"/>
      <c r="J39">
        <v>5.98</v>
      </c>
      <c r="K39">
        <v>0.1</v>
      </c>
      <c r="M39">
        <v>8.5</v>
      </c>
      <c r="N39">
        <v>0.1</v>
      </c>
      <c r="P39" t="s">
        <v>190</v>
      </c>
      <c r="Q39">
        <f t="shared" si="1"/>
        <v>2.7963893021330853E-4</v>
      </c>
      <c r="R39">
        <f t="shared" si="2"/>
        <v>1.3840830449826988E-4</v>
      </c>
      <c r="S39">
        <f t="shared" si="6"/>
        <v>9.802960494069209E-7</v>
      </c>
      <c r="T39">
        <f t="shared" si="3"/>
        <v>4.1902753076098533E-4</v>
      </c>
      <c r="U39">
        <f t="shared" si="4"/>
        <v>2.0470161962255828E-2</v>
      </c>
      <c r="V39">
        <f t="shared" si="5"/>
        <v>2.0470161962255828E-2</v>
      </c>
      <c r="Y39">
        <v>68.34</v>
      </c>
      <c r="Z39">
        <v>0.1</v>
      </c>
      <c r="AA39">
        <f t="shared" si="7"/>
        <v>2.1411645828424717E-6</v>
      </c>
      <c r="AB39">
        <f t="shared" si="8"/>
        <v>9.802960494069209E-7</v>
      </c>
      <c r="AC39">
        <f t="shared" si="9"/>
        <v>3.1214606322493928E-6</v>
      </c>
      <c r="AD39">
        <f t="shared" si="10"/>
        <v>1.7667655849742468E-3</v>
      </c>
      <c r="AE39">
        <f>AD39</f>
        <v>1.7667655849742468E-3</v>
      </c>
    </row>
    <row r="40" spans="1:31" x14ac:dyDescent="0.35">
      <c r="A40" s="32"/>
      <c r="B40">
        <v>2.5</v>
      </c>
      <c r="C40">
        <v>100</v>
      </c>
      <c r="D40">
        <v>0.1</v>
      </c>
      <c r="E40">
        <v>2.5</v>
      </c>
      <c r="F40">
        <v>0.1</v>
      </c>
      <c r="G40">
        <f>C40+E40</f>
        <v>102.5</v>
      </c>
      <c r="H40">
        <f t="shared" si="15"/>
        <v>9.5181439619274262E-7</v>
      </c>
      <c r="I40" s="8"/>
      <c r="J40">
        <v>6.01</v>
      </c>
      <c r="K40">
        <v>0.1</v>
      </c>
      <c r="M40">
        <v>8.5</v>
      </c>
      <c r="N40">
        <v>0.1</v>
      </c>
      <c r="P40" t="s">
        <v>206</v>
      </c>
      <c r="Q40">
        <f t="shared" si="1"/>
        <v>2.7685416153332918E-4</v>
      </c>
      <c r="R40">
        <f t="shared" si="2"/>
        <v>1.3840830449826988E-4</v>
      </c>
      <c r="S40">
        <f t="shared" si="6"/>
        <v>9.5181439619274262E-7</v>
      </c>
      <c r="T40">
        <f t="shared" si="3"/>
        <v>4.1621428042779181E-4</v>
      </c>
      <c r="U40">
        <f t="shared" si="4"/>
        <v>2.0401330359263139E-2</v>
      </c>
      <c r="V40">
        <f t="shared" si="5"/>
        <v>2.0401330359263139E-2</v>
      </c>
      <c r="Y40">
        <v>67.47</v>
      </c>
      <c r="Z40">
        <v>0.1</v>
      </c>
      <c r="AA40">
        <f t="shared" si="7"/>
        <v>2.1967396034740037E-6</v>
      </c>
      <c r="AB40">
        <f t="shared" si="8"/>
        <v>9.5181439619274262E-7</v>
      </c>
      <c r="AC40">
        <f t="shared" si="9"/>
        <v>3.1485539996667466E-6</v>
      </c>
      <c r="AD40">
        <f t="shared" si="10"/>
        <v>1.7744165237245585E-3</v>
      </c>
      <c r="AE40">
        <f>AD40</f>
        <v>1.7744165237245585E-3</v>
      </c>
    </row>
    <row r="41" spans="1:31" x14ac:dyDescent="0.35">
      <c r="A41" s="32"/>
      <c r="B41">
        <v>5</v>
      </c>
      <c r="C41">
        <v>100</v>
      </c>
      <c r="D41">
        <v>0.1</v>
      </c>
      <c r="E41">
        <v>5</v>
      </c>
      <c r="F41">
        <v>0.1</v>
      </c>
      <c r="G41">
        <f>C41+E41</f>
        <v>105</v>
      </c>
      <c r="H41">
        <f t="shared" si="15"/>
        <v>9.0702947845804985E-7</v>
      </c>
      <c r="I41" s="8"/>
      <c r="J41">
        <v>5.8159999999999998</v>
      </c>
      <c r="K41">
        <v>0.1</v>
      </c>
      <c r="M41">
        <v>8.5</v>
      </c>
      <c r="N41">
        <v>0.1</v>
      </c>
      <c r="P41" t="s">
        <v>222</v>
      </c>
      <c r="Q41">
        <f t="shared" si="1"/>
        <v>2.9563183855568954E-4</v>
      </c>
      <c r="R41">
        <f t="shared" si="2"/>
        <v>1.3840830449826988E-4</v>
      </c>
      <c r="S41">
        <f t="shared" si="6"/>
        <v>9.0702947845804985E-7</v>
      </c>
      <c r="T41">
        <f t="shared" si="3"/>
        <v>4.3494717253241748E-4</v>
      </c>
      <c r="U41">
        <f t="shared" si="4"/>
        <v>2.0855387134561119E-2</v>
      </c>
      <c r="V41">
        <f t="shared" si="5"/>
        <v>2.0855387134561119E-2</v>
      </c>
    </row>
    <row r="42" spans="1:31" x14ac:dyDescent="0.35">
      <c r="I42" s="8"/>
    </row>
    <row r="43" spans="1:31" x14ac:dyDescent="0.35">
      <c r="A43" s="32" t="s">
        <v>327</v>
      </c>
      <c r="B43">
        <v>0</v>
      </c>
      <c r="C43">
        <v>100</v>
      </c>
      <c r="D43">
        <v>0.1</v>
      </c>
      <c r="E43">
        <v>0</v>
      </c>
      <c r="F43">
        <v>0</v>
      </c>
      <c r="G43">
        <f>C43+E43</f>
        <v>100</v>
      </c>
      <c r="H43">
        <f>(D43/G43)^2</f>
        <v>9.9999999999999995E-7</v>
      </c>
      <c r="J43">
        <v>2.6739999999999999</v>
      </c>
      <c r="K43">
        <v>0.1</v>
      </c>
      <c r="M43">
        <v>8.5</v>
      </c>
      <c r="N43">
        <v>0.1</v>
      </c>
      <c r="P43" s="4" t="s">
        <v>159</v>
      </c>
      <c r="Q43">
        <f t="shared" si="1"/>
        <v>1.3985474127152576E-3</v>
      </c>
      <c r="R43">
        <f t="shared" si="2"/>
        <v>1.3840830449826988E-4</v>
      </c>
      <c r="S43">
        <f t="shared" si="6"/>
        <v>9.9999999999999995E-7</v>
      </c>
      <c r="T43">
        <f t="shared" si="3"/>
        <v>1.5379557172135274E-3</v>
      </c>
      <c r="U43">
        <f t="shared" si="4"/>
        <v>3.9216778516516719E-2</v>
      </c>
      <c r="V43">
        <f t="shared" si="5"/>
        <v>3.9216778516516719E-2</v>
      </c>
      <c r="Y43">
        <v>43.703000000000003</v>
      </c>
      <c r="Z43">
        <v>0.1</v>
      </c>
      <c r="AA43">
        <f t="shared" si="7"/>
        <v>5.2357330999584182E-6</v>
      </c>
      <c r="AB43">
        <f t="shared" si="8"/>
        <v>9.9999999999999995E-7</v>
      </c>
      <c r="AC43">
        <f t="shared" si="9"/>
        <v>6.235733099958418E-6</v>
      </c>
      <c r="AD43">
        <f t="shared" si="10"/>
        <v>2.4971449897750065E-3</v>
      </c>
      <c r="AE43">
        <f>AD43</f>
        <v>2.4971449897750065E-3</v>
      </c>
    </row>
    <row r="44" spans="1:31" x14ac:dyDescent="0.35">
      <c r="A44" s="32"/>
      <c r="B44">
        <v>0.5</v>
      </c>
      <c r="C44">
        <v>100</v>
      </c>
      <c r="D44">
        <v>0.1</v>
      </c>
      <c r="E44">
        <v>0.5</v>
      </c>
      <c r="F44">
        <v>0.1</v>
      </c>
      <c r="G44">
        <f>C44+E44</f>
        <v>100.5</v>
      </c>
      <c r="H44">
        <f t="shared" ref="H44:H47" si="16">(D44/G44)^2</f>
        <v>9.9007450310635896E-7</v>
      </c>
      <c r="J44">
        <v>4.3600000000000003</v>
      </c>
      <c r="K44">
        <v>0.1</v>
      </c>
      <c r="M44">
        <v>8.5</v>
      </c>
      <c r="N44">
        <v>0.1</v>
      </c>
      <c r="P44" t="s">
        <v>175</v>
      </c>
      <c r="Q44">
        <f t="shared" si="1"/>
        <v>5.2604999579160012E-4</v>
      </c>
      <c r="R44">
        <f t="shared" si="2"/>
        <v>1.3840830449826988E-4</v>
      </c>
      <c r="S44">
        <f t="shared" si="6"/>
        <v>9.9007450310635896E-7</v>
      </c>
      <c r="T44">
        <f t="shared" si="3"/>
        <v>6.6544837479297629E-4</v>
      </c>
      <c r="U44">
        <f t="shared" si="4"/>
        <v>2.579628606588507E-2</v>
      </c>
      <c r="V44">
        <f t="shared" si="5"/>
        <v>2.579628606588507E-2</v>
      </c>
      <c r="Y44">
        <v>50.8</v>
      </c>
      <c r="Z44">
        <v>0.1</v>
      </c>
      <c r="AA44">
        <f t="shared" si="7"/>
        <v>3.8750077500155012E-6</v>
      </c>
      <c r="AB44">
        <f t="shared" si="8"/>
        <v>9.9007450310635896E-7</v>
      </c>
      <c r="AC44">
        <f t="shared" si="9"/>
        <v>4.8650822531218602E-6</v>
      </c>
      <c r="AD44">
        <f t="shared" si="10"/>
        <v>2.205693145730353E-3</v>
      </c>
      <c r="AE44">
        <f>AD44</f>
        <v>2.205693145730353E-3</v>
      </c>
    </row>
    <row r="45" spans="1:31" x14ac:dyDescent="0.35">
      <c r="A45" s="32"/>
      <c r="B45">
        <v>1</v>
      </c>
      <c r="C45">
        <v>100</v>
      </c>
      <c r="D45">
        <v>0.1</v>
      </c>
      <c r="E45">
        <v>1</v>
      </c>
      <c r="F45">
        <v>0.1</v>
      </c>
      <c r="G45">
        <f>C45+E45</f>
        <v>101</v>
      </c>
      <c r="H45">
        <f t="shared" si="16"/>
        <v>9.802960494069209E-7</v>
      </c>
      <c r="J45">
        <v>5.5060000000000002</v>
      </c>
      <c r="K45">
        <v>0.1</v>
      </c>
      <c r="M45">
        <v>8.5</v>
      </c>
      <c r="N45">
        <v>0.1</v>
      </c>
      <c r="P45" t="s">
        <v>191</v>
      </c>
      <c r="Q45">
        <f t="shared" si="1"/>
        <v>3.2985842872069424E-4</v>
      </c>
      <c r="R45">
        <f t="shared" si="2"/>
        <v>1.3840830449826988E-4</v>
      </c>
      <c r="S45">
        <f t="shared" si="6"/>
        <v>9.802960494069209E-7</v>
      </c>
      <c r="T45">
        <f t="shared" si="3"/>
        <v>4.6924702926837104E-4</v>
      </c>
      <c r="U45">
        <f t="shared" si="4"/>
        <v>2.1662110452778396E-2</v>
      </c>
      <c r="V45">
        <f t="shared" si="5"/>
        <v>2.1662110452778396E-2</v>
      </c>
      <c r="Y45">
        <v>63.759</v>
      </c>
      <c r="Z45">
        <v>0.1</v>
      </c>
      <c r="AA45">
        <f t="shared" si="7"/>
        <v>2.459897471655414E-6</v>
      </c>
      <c r="AB45">
        <f t="shared" si="8"/>
        <v>9.802960494069209E-7</v>
      </c>
      <c r="AC45">
        <f t="shared" si="9"/>
        <v>3.4401935210623351E-6</v>
      </c>
      <c r="AD45">
        <f t="shared" si="10"/>
        <v>1.8547758681475061E-3</v>
      </c>
      <c r="AE45">
        <f>AD45</f>
        <v>1.8547758681475061E-3</v>
      </c>
    </row>
    <row r="46" spans="1:31" x14ac:dyDescent="0.35">
      <c r="A46" s="32"/>
      <c r="B46">
        <v>2.5</v>
      </c>
      <c r="C46">
        <v>100</v>
      </c>
      <c r="D46">
        <v>0.1</v>
      </c>
      <c r="E46">
        <v>2.5</v>
      </c>
      <c r="F46">
        <v>0.1</v>
      </c>
      <c r="G46">
        <f>C46+E46</f>
        <v>102.5</v>
      </c>
      <c r="H46">
        <f t="shared" si="16"/>
        <v>9.5181439619274262E-7</v>
      </c>
      <c r="J46">
        <v>6.0750000000000002</v>
      </c>
      <c r="K46">
        <v>0.1</v>
      </c>
      <c r="M46">
        <v>8.5</v>
      </c>
      <c r="N46">
        <v>0.1</v>
      </c>
      <c r="P46" t="s">
        <v>207</v>
      </c>
      <c r="Q46">
        <f t="shared" si="1"/>
        <v>2.7096140493488462E-4</v>
      </c>
      <c r="R46">
        <f t="shared" si="2"/>
        <v>1.3840830449826988E-4</v>
      </c>
      <c r="S46">
        <f t="shared" si="6"/>
        <v>9.5181439619274262E-7</v>
      </c>
      <c r="T46">
        <f t="shared" si="3"/>
        <v>4.1032152382934725E-4</v>
      </c>
      <c r="U46">
        <f t="shared" si="4"/>
        <v>2.0256394640442491E-2</v>
      </c>
      <c r="V46">
        <f t="shared" si="5"/>
        <v>2.0256394640442491E-2</v>
      </c>
      <c r="Y46">
        <v>71.716999999999999</v>
      </c>
      <c r="Z46">
        <v>0.1</v>
      </c>
      <c r="AA46">
        <f t="shared" si="7"/>
        <v>1.9442664024072141E-6</v>
      </c>
      <c r="AB46">
        <f t="shared" si="8"/>
        <v>9.5181439619274262E-7</v>
      </c>
      <c r="AC46">
        <f t="shared" si="9"/>
        <v>2.8960807985999569E-6</v>
      </c>
      <c r="AD46">
        <f t="shared" si="10"/>
        <v>1.7017875303926625E-3</v>
      </c>
      <c r="AE46">
        <f>AD46</f>
        <v>1.7017875303926625E-3</v>
      </c>
    </row>
    <row r="47" spans="1:31" x14ac:dyDescent="0.35">
      <c r="A47" s="32"/>
      <c r="B47">
        <v>5</v>
      </c>
      <c r="C47">
        <v>100</v>
      </c>
      <c r="D47">
        <v>0.1</v>
      </c>
      <c r="E47">
        <v>5</v>
      </c>
      <c r="F47">
        <v>0.1</v>
      </c>
      <c r="G47">
        <f>C47+E47</f>
        <v>105</v>
      </c>
      <c r="H47">
        <f t="shared" si="16"/>
        <v>9.0702947845804985E-7</v>
      </c>
      <c r="I47" s="8"/>
      <c r="J47">
        <v>5.9020000000000001</v>
      </c>
      <c r="K47">
        <v>0.1</v>
      </c>
      <c r="M47">
        <v>8.5</v>
      </c>
      <c r="N47">
        <v>0.1</v>
      </c>
      <c r="P47" t="s">
        <v>223</v>
      </c>
      <c r="Q47">
        <f t="shared" si="1"/>
        <v>2.8707910901209084E-4</v>
      </c>
      <c r="R47">
        <f t="shared" si="2"/>
        <v>1.3840830449826988E-4</v>
      </c>
      <c r="S47">
        <f t="shared" si="6"/>
        <v>9.0702947845804985E-7</v>
      </c>
      <c r="T47">
        <f t="shared" si="3"/>
        <v>4.2639444298881877E-4</v>
      </c>
      <c r="U47">
        <f t="shared" si="4"/>
        <v>2.064932064230731E-2</v>
      </c>
      <c r="V47">
        <f t="shared" si="5"/>
        <v>2.064932064230731E-2</v>
      </c>
    </row>
    <row r="48" spans="1:31" x14ac:dyDescent="0.35">
      <c r="I48" s="17"/>
    </row>
    <row r="49" spans="1:31" x14ac:dyDescent="0.35">
      <c r="A49" s="32" t="s">
        <v>10</v>
      </c>
      <c r="B49">
        <v>0</v>
      </c>
      <c r="C49">
        <v>100</v>
      </c>
      <c r="D49">
        <v>0.1</v>
      </c>
      <c r="E49">
        <v>0</v>
      </c>
      <c r="F49">
        <v>0</v>
      </c>
      <c r="G49">
        <f>C49+E49</f>
        <v>100</v>
      </c>
      <c r="H49">
        <f>(D49/G49)^2</f>
        <v>9.9999999999999995E-7</v>
      </c>
      <c r="I49" s="8"/>
      <c r="J49">
        <v>2.3010000000000002</v>
      </c>
      <c r="K49">
        <v>0.1</v>
      </c>
      <c r="M49">
        <v>8.5</v>
      </c>
      <c r="N49">
        <v>0.1</v>
      </c>
      <c r="P49" s="4" t="s">
        <v>170</v>
      </c>
      <c r="Q49">
        <f t="shared" si="1"/>
        <v>1.8887164490770882E-3</v>
      </c>
      <c r="R49">
        <f t="shared" si="2"/>
        <v>1.3840830449826988E-4</v>
      </c>
      <c r="S49">
        <f t="shared" si="6"/>
        <v>9.9999999999999995E-7</v>
      </c>
      <c r="T49">
        <f t="shared" si="3"/>
        <v>2.028124753575358E-3</v>
      </c>
      <c r="U49">
        <f t="shared" si="4"/>
        <v>4.5034706100688146E-2</v>
      </c>
      <c r="V49">
        <f t="shared" si="5"/>
        <v>4.5034706100688146E-2</v>
      </c>
    </row>
    <row r="50" spans="1:31" x14ac:dyDescent="0.35">
      <c r="A50" s="32"/>
      <c r="B50">
        <v>0.5</v>
      </c>
      <c r="C50">
        <v>100</v>
      </c>
      <c r="D50">
        <v>0.1</v>
      </c>
      <c r="E50">
        <v>0.5</v>
      </c>
      <c r="F50">
        <v>0.1</v>
      </c>
      <c r="G50">
        <f>C50+E50</f>
        <v>100.5</v>
      </c>
      <c r="H50">
        <f t="shared" ref="H50:H53" si="17">(D50/G50)^2</f>
        <v>9.9007450310635896E-7</v>
      </c>
      <c r="I50" s="8"/>
      <c r="J50">
        <v>2.6480000000000001</v>
      </c>
      <c r="K50">
        <v>0.1</v>
      </c>
      <c r="M50">
        <v>8.5</v>
      </c>
      <c r="N50">
        <v>0.1</v>
      </c>
      <c r="P50" t="s">
        <v>186</v>
      </c>
      <c r="Q50">
        <f t="shared" si="1"/>
        <v>1.4261461651500077E-3</v>
      </c>
      <c r="R50">
        <f t="shared" si="2"/>
        <v>1.3840830449826988E-4</v>
      </c>
      <c r="S50">
        <f t="shared" si="6"/>
        <v>9.9007450310635896E-7</v>
      </c>
      <c r="T50">
        <f t="shared" si="3"/>
        <v>1.565544544151384E-3</v>
      </c>
      <c r="U50">
        <f t="shared" si="4"/>
        <v>3.9566962786539275E-2</v>
      </c>
      <c r="V50">
        <f t="shared" si="5"/>
        <v>3.9566962786539275E-2</v>
      </c>
    </row>
    <row r="51" spans="1:31" x14ac:dyDescent="0.35">
      <c r="A51" s="32"/>
      <c r="B51">
        <v>1</v>
      </c>
      <c r="C51">
        <v>100</v>
      </c>
      <c r="D51">
        <v>0.1</v>
      </c>
      <c r="E51">
        <v>1</v>
      </c>
      <c r="F51">
        <v>0.1</v>
      </c>
      <c r="G51">
        <f>C51+E51</f>
        <v>101</v>
      </c>
      <c r="H51">
        <f t="shared" si="17"/>
        <v>9.802960494069209E-7</v>
      </c>
      <c r="I51" s="8"/>
      <c r="J51">
        <v>3.1040000000000001</v>
      </c>
      <c r="K51">
        <v>0.1</v>
      </c>
      <c r="M51">
        <v>8.5</v>
      </c>
      <c r="N51">
        <v>0.1</v>
      </c>
      <c r="P51" t="s">
        <v>202</v>
      </c>
      <c r="Q51">
        <f t="shared" si="1"/>
        <v>1.0379025401211607E-3</v>
      </c>
      <c r="R51">
        <f t="shared" si="2"/>
        <v>1.3840830449826988E-4</v>
      </c>
      <c r="S51">
        <f t="shared" si="6"/>
        <v>9.802960494069209E-7</v>
      </c>
      <c r="T51">
        <f t="shared" si="3"/>
        <v>1.1772911406688375E-3</v>
      </c>
      <c r="U51">
        <f t="shared" si="4"/>
        <v>3.4311676447950447E-2</v>
      </c>
      <c r="V51">
        <f t="shared" si="5"/>
        <v>3.4311676447950447E-2</v>
      </c>
    </row>
    <row r="52" spans="1:31" x14ac:dyDescent="0.35">
      <c r="A52" s="32"/>
      <c r="B52">
        <v>2.5</v>
      </c>
      <c r="C52">
        <v>100</v>
      </c>
      <c r="D52">
        <v>0.1</v>
      </c>
      <c r="E52">
        <v>2.5</v>
      </c>
      <c r="F52">
        <v>0.1</v>
      </c>
      <c r="G52">
        <f>C52+E52</f>
        <v>102.5</v>
      </c>
      <c r="H52">
        <f t="shared" si="17"/>
        <v>9.5181439619274262E-7</v>
      </c>
      <c r="I52" s="17"/>
      <c r="J52">
        <v>5.24</v>
      </c>
      <c r="K52">
        <v>0.1</v>
      </c>
      <c r="M52">
        <v>8.5</v>
      </c>
      <c r="N52">
        <v>0.1</v>
      </c>
      <c r="P52" t="s">
        <v>218</v>
      </c>
      <c r="Q52">
        <f t="shared" si="1"/>
        <v>3.6419789056581789E-4</v>
      </c>
      <c r="R52">
        <f t="shared" si="2"/>
        <v>1.3840830449826988E-4</v>
      </c>
      <c r="S52">
        <f t="shared" si="6"/>
        <v>9.5181439619274262E-7</v>
      </c>
      <c r="T52">
        <f t="shared" si="3"/>
        <v>5.0355800946028052E-4</v>
      </c>
      <c r="U52">
        <f t="shared" si="4"/>
        <v>2.2440098249791166E-2</v>
      </c>
      <c r="V52">
        <f t="shared" si="5"/>
        <v>2.2440098249791166E-2</v>
      </c>
    </row>
    <row r="53" spans="1:31" x14ac:dyDescent="0.35">
      <c r="A53" s="32"/>
      <c r="B53">
        <v>5</v>
      </c>
      <c r="C53">
        <v>100</v>
      </c>
      <c r="D53">
        <v>0.1</v>
      </c>
      <c r="E53">
        <v>5</v>
      </c>
      <c r="F53">
        <v>0.1</v>
      </c>
      <c r="G53">
        <f>C53+E53</f>
        <v>105</v>
      </c>
      <c r="H53">
        <f t="shared" si="17"/>
        <v>9.0702947845804985E-7</v>
      </c>
      <c r="I53" s="8"/>
      <c r="J53">
        <v>6.133</v>
      </c>
      <c r="K53">
        <v>0.1</v>
      </c>
      <c r="M53">
        <v>8.5</v>
      </c>
      <c r="N53">
        <v>0.1</v>
      </c>
      <c r="P53" t="s">
        <v>234</v>
      </c>
      <c r="Q53">
        <f t="shared" si="1"/>
        <v>2.6586065514605604E-4</v>
      </c>
      <c r="R53">
        <f t="shared" si="2"/>
        <v>1.3840830449826988E-4</v>
      </c>
      <c r="S53">
        <f t="shared" si="6"/>
        <v>9.0702947845804985E-7</v>
      </c>
      <c r="T53">
        <f t="shared" si="3"/>
        <v>4.0517598912278397E-4</v>
      </c>
      <c r="U53">
        <f t="shared" si="4"/>
        <v>2.0128983807504639E-2</v>
      </c>
      <c r="V53">
        <f t="shared" si="5"/>
        <v>2.0128983807504639E-2</v>
      </c>
    </row>
    <row r="54" spans="1:31" x14ac:dyDescent="0.35">
      <c r="I54" s="8"/>
    </row>
    <row r="55" spans="1:31" x14ac:dyDescent="0.35">
      <c r="A55" s="32" t="s">
        <v>328</v>
      </c>
      <c r="B55">
        <v>0</v>
      </c>
      <c r="C55">
        <v>100</v>
      </c>
      <c r="D55">
        <v>0.1</v>
      </c>
      <c r="E55">
        <v>0</v>
      </c>
      <c r="F55">
        <v>0</v>
      </c>
      <c r="G55">
        <f>C55+E55</f>
        <v>100</v>
      </c>
      <c r="H55">
        <f>(D55/G55)^2</f>
        <v>9.9999999999999995E-7</v>
      </c>
      <c r="I55" s="8"/>
      <c r="J55">
        <v>2.323</v>
      </c>
      <c r="K55">
        <v>0.1</v>
      </c>
      <c r="M55">
        <v>8.5</v>
      </c>
      <c r="N55">
        <v>0.1</v>
      </c>
      <c r="P55" s="4" t="s">
        <v>162</v>
      </c>
      <c r="Q55">
        <f t="shared" si="1"/>
        <v>1.8531116245877521E-3</v>
      </c>
      <c r="R55">
        <f t="shared" si="2"/>
        <v>1.3840830449826988E-4</v>
      </c>
      <c r="S55">
        <f t="shared" si="6"/>
        <v>9.9999999999999995E-7</v>
      </c>
      <c r="T55">
        <f t="shared" si="3"/>
        <v>1.992519929086022E-3</v>
      </c>
      <c r="U55">
        <f t="shared" si="4"/>
        <v>4.4637651473683315E-2</v>
      </c>
      <c r="V55">
        <f t="shared" si="5"/>
        <v>4.4637651473683315E-2</v>
      </c>
      <c r="Y55">
        <v>41.595999999999997</v>
      </c>
      <c r="Z55">
        <v>0.1</v>
      </c>
      <c r="AA55">
        <f t="shared" si="7"/>
        <v>5.7795877371056246E-6</v>
      </c>
      <c r="AB55">
        <f t="shared" si="8"/>
        <v>9.9999999999999995E-7</v>
      </c>
      <c r="AC55">
        <f t="shared" si="9"/>
        <v>6.7795877371056243E-6</v>
      </c>
      <c r="AD55">
        <f t="shared" si="10"/>
        <v>2.6037641477494895E-3</v>
      </c>
      <c r="AE55">
        <f>AD55</f>
        <v>2.6037641477494895E-3</v>
      </c>
    </row>
    <row r="56" spans="1:31" x14ac:dyDescent="0.35">
      <c r="A56" s="32"/>
      <c r="B56">
        <v>0.5</v>
      </c>
      <c r="C56">
        <v>100</v>
      </c>
      <c r="D56">
        <v>0.1</v>
      </c>
      <c r="E56">
        <v>0.5</v>
      </c>
      <c r="F56">
        <v>0.1</v>
      </c>
      <c r="G56">
        <f>C56+E56</f>
        <v>100.5</v>
      </c>
      <c r="H56">
        <f t="shared" ref="H56:H59" si="18">(D56/G56)^2</f>
        <v>9.9007450310635896E-7</v>
      </c>
      <c r="I56" s="8"/>
      <c r="J56">
        <v>4.1840000000000002</v>
      </c>
      <c r="K56">
        <v>0.1</v>
      </c>
      <c r="M56">
        <v>8.5</v>
      </c>
      <c r="N56">
        <v>0.1</v>
      </c>
      <c r="P56" t="s">
        <v>178</v>
      </c>
      <c r="Q56">
        <f t="shared" si="1"/>
        <v>5.7123741906708241E-4</v>
      </c>
      <c r="R56">
        <f t="shared" si="2"/>
        <v>1.3840830449826988E-4</v>
      </c>
      <c r="S56">
        <f t="shared" si="6"/>
        <v>9.9007450310635896E-7</v>
      </c>
      <c r="T56">
        <f t="shared" si="3"/>
        <v>7.1063579806845858E-4</v>
      </c>
      <c r="U56">
        <f t="shared" si="4"/>
        <v>2.6657753057383861E-2</v>
      </c>
      <c r="V56">
        <f t="shared" si="5"/>
        <v>2.6657753057383861E-2</v>
      </c>
      <c r="Y56">
        <v>53.728999999999999</v>
      </c>
      <c r="Z56">
        <v>0.1</v>
      </c>
      <c r="AA56">
        <f t="shared" si="7"/>
        <v>3.4640367022919165E-6</v>
      </c>
      <c r="AB56">
        <f t="shared" si="8"/>
        <v>9.9007450310635896E-7</v>
      </c>
      <c r="AC56">
        <f t="shared" si="9"/>
        <v>4.454111205398275E-6</v>
      </c>
      <c r="AD56">
        <f t="shared" si="10"/>
        <v>2.1104765351451496E-3</v>
      </c>
      <c r="AE56">
        <f>AD56</f>
        <v>2.1104765351451496E-3</v>
      </c>
    </row>
    <row r="57" spans="1:31" x14ac:dyDescent="0.35">
      <c r="A57" s="32"/>
      <c r="B57">
        <v>1</v>
      </c>
      <c r="C57">
        <v>100</v>
      </c>
      <c r="D57">
        <v>0.1</v>
      </c>
      <c r="E57">
        <v>1</v>
      </c>
      <c r="F57">
        <v>0.1</v>
      </c>
      <c r="G57">
        <f>C57+E57</f>
        <v>101</v>
      </c>
      <c r="H57">
        <f t="shared" si="18"/>
        <v>9.802960494069209E-7</v>
      </c>
      <c r="I57" s="17"/>
      <c r="J57">
        <v>5.1180000000000003</v>
      </c>
      <c r="K57">
        <v>0.1</v>
      </c>
      <c r="M57">
        <v>8.5</v>
      </c>
      <c r="N57">
        <v>0.1</v>
      </c>
      <c r="P57" t="s">
        <v>194</v>
      </c>
      <c r="Q57">
        <f t="shared" si="1"/>
        <v>3.8176792450035364E-4</v>
      </c>
      <c r="R57">
        <f t="shared" si="2"/>
        <v>1.3840830449826988E-4</v>
      </c>
      <c r="S57">
        <f t="shared" si="6"/>
        <v>9.802960494069209E-7</v>
      </c>
      <c r="T57">
        <f t="shared" si="3"/>
        <v>5.2115652504803049E-4</v>
      </c>
      <c r="U57">
        <f t="shared" si="4"/>
        <v>2.2828852906969076E-2</v>
      </c>
      <c r="V57">
        <f t="shared" si="5"/>
        <v>2.2828852906969076E-2</v>
      </c>
      <c r="Y57">
        <v>68.307000000000002</v>
      </c>
      <c r="Z57">
        <v>0.1</v>
      </c>
      <c r="AA57">
        <f t="shared" si="7"/>
        <v>2.1432339314959709E-6</v>
      </c>
      <c r="AB57">
        <f t="shared" si="8"/>
        <v>9.802960494069209E-7</v>
      </c>
      <c r="AC57">
        <f t="shared" si="9"/>
        <v>3.123529980902892E-6</v>
      </c>
      <c r="AD57">
        <f t="shared" si="10"/>
        <v>1.7673511198691935E-3</v>
      </c>
      <c r="AE57">
        <f>AD57</f>
        <v>1.7673511198691935E-3</v>
      </c>
    </row>
    <row r="58" spans="1:31" x14ac:dyDescent="0.35">
      <c r="A58" s="32"/>
      <c r="B58">
        <v>2.5</v>
      </c>
      <c r="C58">
        <v>100</v>
      </c>
      <c r="D58">
        <v>0.1</v>
      </c>
      <c r="E58">
        <v>2.5</v>
      </c>
      <c r="F58">
        <v>0.1</v>
      </c>
      <c r="G58">
        <f>C58+E58</f>
        <v>102.5</v>
      </c>
      <c r="H58">
        <f t="shared" si="18"/>
        <v>9.5181439619274262E-7</v>
      </c>
      <c r="I58" s="8"/>
      <c r="J58">
        <v>6.3090000000000002</v>
      </c>
      <c r="K58">
        <v>0.1</v>
      </c>
      <c r="M58">
        <v>8.5</v>
      </c>
      <c r="N58">
        <v>0.1</v>
      </c>
      <c r="P58" t="s">
        <v>210</v>
      </c>
      <c r="Q58">
        <f t="shared" si="1"/>
        <v>2.5123430787372594E-4</v>
      </c>
      <c r="R58">
        <f t="shared" si="2"/>
        <v>1.3840830449826988E-4</v>
      </c>
      <c r="S58">
        <f t="shared" si="6"/>
        <v>9.5181439619274262E-7</v>
      </c>
      <c r="T58">
        <f t="shared" si="3"/>
        <v>3.9059442676818857E-4</v>
      </c>
      <c r="U58">
        <f t="shared" si="4"/>
        <v>1.9763461912534166E-2</v>
      </c>
      <c r="V58">
        <f t="shared" si="5"/>
        <v>1.9763461912534166E-2</v>
      </c>
      <c r="Y58">
        <v>90.453000000000003</v>
      </c>
      <c r="Z58">
        <v>0.1</v>
      </c>
      <c r="AA58">
        <f t="shared" si="7"/>
        <v>1.2222331231972245E-6</v>
      </c>
      <c r="AB58">
        <f t="shared" si="8"/>
        <v>9.5181439619274262E-7</v>
      </c>
      <c r="AC58">
        <f t="shared" si="9"/>
        <v>2.1740475193899672E-6</v>
      </c>
      <c r="AD58">
        <f t="shared" si="10"/>
        <v>1.4744651638441538E-3</v>
      </c>
      <c r="AE58">
        <f>AD58</f>
        <v>1.4744651638441538E-3</v>
      </c>
    </row>
    <row r="59" spans="1:31" x14ac:dyDescent="0.35">
      <c r="A59" s="32"/>
      <c r="B59">
        <v>5</v>
      </c>
      <c r="C59">
        <v>100</v>
      </c>
      <c r="D59">
        <v>0.1</v>
      </c>
      <c r="E59">
        <v>5</v>
      </c>
      <c r="F59">
        <v>0.1</v>
      </c>
      <c r="G59">
        <f>C59+E59</f>
        <v>105</v>
      </c>
      <c r="H59">
        <f t="shared" si="18"/>
        <v>9.0702947845804985E-7</v>
      </c>
      <c r="I59" s="8"/>
      <c r="J59">
        <v>6.5919999999999996</v>
      </c>
      <c r="K59">
        <v>0.1</v>
      </c>
      <c r="M59">
        <v>8.5</v>
      </c>
      <c r="N59">
        <v>0.1</v>
      </c>
      <c r="P59" t="s">
        <v>226</v>
      </c>
      <c r="Q59">
        <f t="shared" si="1"/>
        <v>2.3012595437835805E-4</v>
      </c>
      <c r="R59">
        <f t="shared" si="2"/>
        <v>1.3840830449826988E-4</v>
      </c>
      <c r="S59">
        <f t="shared" si="6"/>
        <v>9.0702947845804985E-7</v>
      </c>
      <c r="T59">
        <f t="shared" si="3"/>
        <v>3.6944128835508599E-4</v>
      </c>
      <c r="U59">
        <f t="shared" si="4"/>
        <v>1.9220855557312896E-2</v>
      </c>
      <c r="V59">
        <f t="shared" si="5"/>
        <v>1.9220855557312896E-2</v>
      </c>
    </row>
    <row r="60" spans="1:31" x14ac:dyDescent="0.35">
      <c r="I60" s="8"/>
    </row>
    <row r="61" spans="1:31" x14ac:dyDescent="0.35">
      <c r="A61" s="32" t="s">
        <v>361</v>
      </c>
      <c r="B61">
        <v>0</v>
      </c>
      <c r="C61">
        <v>100</v>
      </c>
      <c r="D61">
        <v>0.1</v>
      </c>
      <c r="E61">
        <v>0</v>
      </c>
      <c r="F61">
        <v>0</v>
      </c>
      <c r="G61">
        <f>C61+E61</f>
        <v>100</v>
      </c>
      <c r="H61">
        <f>(D61/G61)^2</f>
        <v>9.9999999999999995E-7</v>
      </c>
      <c r="I61" s="8"/>
      <c r="J61">
        <v>2.4950000000000001</v>
      </c>
      <c r="K61">
        <v>0.1</v>
      </c>
      <c r="M61">
        <v>8.5</v>
      </c>
      <c r="N61">
        <v>0.1</v>
      </c>
      <c r="P61" s="4" t="s">
        <v>157</v>
      </c>
      <c r="Q61">
        <f t="shared" si="1"/>
        <v>1.6064192513283078E-3</v>
      </c>
      <c r="R61">
        <f t="shared" si="2"/>
        <v>1.3840830449826988E-4</v>
      </c>
      <c r="S61">
        <f t="shared" si="6"/>
        <v>9.9999999999999995E-7</v>
      </c>
      <c r="T61">
        <f t="shared" si="3"/>
        <v>1.7458275558265776E-3</v>
      </c>
      <c r="U61">
        <f t="shared" si="4"/>
        <v>4.1783101318913336E-2</v>
      </c>
      <c r="V61">
        <f t="shared" si="5"/>
        <v>4.1783101318913336E-2</v>
      </c>
      <c r="Y61">
        <v>39.396999999999998</v>
      </c>
      <c r="Z61">
        <v>0.1</v>
      </c>
      <c r="AA61">
        <f t="shared" si="7"/>
        <v>6.4427858335605047E-6</v>
      </c>
      <c r="AB61">
        <f t="shared" si="8"/>
        <v>9.9999999999999995E-7</v>
      </c>
      <c r="AC61">
        <f t="shared" si="9"/>
        <v>7.4427858335605044E-6</v>
      </c>
      <c r="AD61">
        <f t="shared" si="10"/>
        <v>2.7281469596707039E-3</v>
      </c>
      <c r="AE61">
        <f>AD61</f>
        <v>2.7281469596707039E-3</v>
      </c>
    </row>
    <row r="62" spans="1:31" x14ac:dyDescent="0.35">
      <c r="A62" s="32"/>
      <c r="B62">
        <v>0.5</v>
      </c>
      <c r="C62">
        <v>100</v>
      </c>
      <c r="D62">
        <v>0.1</v>
      </c>
      <c r="E62">
        <v>0.5</v>
      </c>
      <c r="F62">
        <v>0.1</v>
      </c>
      <c r="G62">
        <f>C62+E62</f>
        <v>100.5</v>
      </c>
      <c r="H62">
        <f t="shared" ref="H62:H65" si="19">(D62/G62)^2</f>
        <v>9.9007450310635896E-7</v>
      </c>
      <c r="J62">
        <v>4.0810000000000004</v>
      </c>
      <c r="K62">
        <v>0.1</v>
      </c>
      <c r="M62">
        <v>8.5</v>
      </c>
      <c r="N62">
        <v>0.1</v>
      </c>
      <c r="P62" t="s">
        <v>173</v>
      </c>
      <c r="Q62">
        <f t="shared" si="1"/>
        <v>6.0043612077196153E-4</v>
      </c>
      <c r="R62">
        <f t="shared" si="2"/>
        <v>1.3840830449826988E-4</v>
      </c>
      <c r="S62">
        <f t="shared" si="6"/>
        <v>9.9007450310635896E-7</v>
      </c>
      <c r="T62">
        <f t="shared" si="3"/>
        <v>7.3983449977333771E-4</v>
      </c>
      <c r="U62">
        <f t="shared" si="4"/>
        <v>2.719989889270432E-2</v>
      </c>
      <c r="V62">
        <f t="shared" si="5"/>
        <v>2.719989889270432E-2</v>
      </c>
      <c r="Y62">
        <v>59.29</v>
      </c>
      <c r="Z62">
        <v>0.1</v>
      </c>
      <c r="AA62">
        <f t="shared" si="7"/>
        <v>2.8447041039778045E-6</v>
      </c>
      <c r="AB62">
        <f t="shared" si="8"/>
        <v>9.9007450310635896E-7</v>
      </c>
      <c r="AC62">
        <f t="shared" si="9"/>
        <v>3.8347786070841639E-6</v>
      </c>
      <c r="AD62">
        <f t="shared" si="10"/>
        <v>1.9582590755781431E-3</v>
      </c>
      <c r="AE62">
        <f>AD62</f>
        <v>1.9582590755781431E-3</v>
      </c>
    </row>
    <row r="63" spans="1:31" x14ac:dyDescent="0.35">
      <c r="A63" s="32"/>
      <c r="B63">
        <v>1</v>
      </c>
      <c r="C63">
        <v>100</v>
      </c>
      <c r="D63">
        <v>0.1</v>
      </c>
      <c r="E63">
        <v>1</v>
      </c>
      <c r="F63">
        <v>0.1</v>
      </c>
      <c r="G63">
        <f>C63+E63</f>
        <v>101</v>
      </c>
      <c r="H63">
        <f t="shared" si="19"/>
        <v>9.802960494069209E-7</v>
      </c>
      <c r="J63">
        <v>5.7530000000000001</v>
      </c>
      <c r="K63">
        <v>0.1</v>
      </c>
      <c r="M63">
        <v>8.5</v>
      </c>
      <c r="N63">
        <v>0.1</v>
      </c>
      <c r="P63" t="s">
        <v>189</v>
      </c>
      <c r="Q63">
        <f t="shared" si="1"/>
        <v>3.0214210595283703E-4</v>
      </c>
      <c r="R63">
        <f t="shared" si="2"/>
        <v>1.3840830449826988E-4</v>
      </c>
      <c r="S63">
        <f t="shared" si="6"/>
        <v>9.802960494069209E-7</v>
      </c>
      <c r="T63">
        <f t="shared" si="3"/>
        <v>4.4153070650051384E-4</v>
      </c>
      <c r="U63">
        <f t="shared" si="4"/>
        <v>2.101263206979349E-2</v>
      </c>
      <c r="V63">
        <f t="shared" si="5"/>
        <v>2.101263206979349E-2</v>
      </c>
      <c r="Y63">
        <v>72.209999999999994</v>
      </c>
      <c r="Z63">
        <v>0.1</v>
      </c>
      <c r="AA63">
        <f t="shared" si="7"/>
        <v>1.9178088129106742E-6</v>
      </c>
      <c r="AB63">
        <f t="shared" si="8"/>
        <v>9.802960494069209E-7</v>
      </c>
      <c r="AC63">
        <f t="shared" si="9"/>
        <v>2.8981048623175953E-6</v>
      </c>
      <c r="AD63">
        <f t="shared" si="10"/>
        <v>1.7023821140735693E-3</v>
      </c>
      <c r="AE63">
        <f>AD63</f>
        <v>1.7023821140735693E-3</v>
      </c>
    </row>
    <row r="64" spans="1:31" x14ac:dyDescent="0.35">
      <c r="A64" s="32"/>
      <c r="B64">
        <v>2.5</v>
      </c>
      <c r="C64">
        <v>100</v>
      </c>
      <c r="D64">
        <v>0.1</v>
      </c>
      <c r="E64">
        <v>2.5</v>
      </c>
      <c r="F64">
        <v>0.1</v>
      </c>
      <c r="G64">
        <f>C64+E64</f>
        <v>102.5</v>
      </c>
      <c r="H64">
        <f t="shared" si="19"/>
        <v>9.5181439619274262E-7</v>
      </c>
      <c r="I64" s="8"/>
      <c r="J64">
        <v>6.0679999999999996</v>
      </c>
      <c r="K64">
        <v>0.1</v>
      </c>
      <c r="M64">
        <v>8.5</v>
      </c>
      <c r="N64">
        <v>0.1</v>
      </c>
      <c r="P64" t="s">
        <v>205</v>
      </c>
      <c r="Q64">
        <f t="shared" si="1"/>
        <v>2.7158692367625282E-4</v>
      </c>
      <c r="R64">
        <f t="shared" si="2"/>
        <v>1.3840830449826988E-4</v>
      </c>
      <c r="S64">
        <f t="shared" si="6"/>
        <v>9.5181439619274262E-7</v>
      </c>
      <c r="T64">
        <f t="shared" si="3"/>
        <v>4.1094704257071545E-4</v>
      </c>
      <c r="U64">
        <f t="shared" si="4"/>
        <v>2.0271828791964364E-2</v>
      </c>
      <c r="V64">
        <f t="shared" si="5"/>
        <v>2.0271828791964364E-2</v>
      </c>
      <c r="Y64">
        <v>77.739999999999995</v>
      </c>
      <c r="Z64">
        <v>0.1</v>
      </c>
      <c r="AA64">
        <f t="shared" si="7"/>
        <v>1.6546682261142524E-6</v>
      </c>
      <c r="AB64">
        <f t="shared" si="8"/>
        <v>9.5181439619274262E-7</v>
      </c>
      <c r="AC64">
        <f t="shared" si="9"/>
        <v>2.606482622306995E-6</v>
      </c>
      <c r="AD64">
        <f t="shared" si="10"/>
        <v>1.6144604740615347E-3</v>
      </c>
      <c r="AE64">
        <f>AD64</f>
        <v>1.6144604740615347E-3</v>
      </c>
    </row>
    <row r="65" spans="1:31" x14ac:dyDescent="0.35">
      <c r="A65" s="32"/>
      <c r="B65">
        <v>5</v>
      </c>
      <c r="C65">
        <v>100</v>
      </c>
      <c r="D65">
        <v>0.1</v>
      </c>
      <c r="E65">
        <v>5</v>
      </c>
      <c r="F65">
        <v>0.1</v>
      </c>
      <c r="G65">
        <f>C65+E65</f>
        <v>105</v>
      </c>
      <c r="H65">
        <f t="shared" si="19"/>
        <v>9.0702947845804985E-7</v>
      </c>
      <c r="I65" s="17"/>
      <c r="J65">
        <v>5.9859999999999998</v>
      </c>
      <c r="K65">
        <v>0.1</v>
      </c>
      <c r="M65">
        <v>8.5</v>
      </c>
      <c r="N65">
        <v>0.1</v>
      </c>
      <c r="P65" t="s">
        <v>221</v>
      </c>
      <c r="Q65">
        <f t="shared" si="1"/>
        <v>2.7907862526762244E-4</v>
      </c>
      <c r="R65">
        <f t="shared" si="2"/>
        <v>1.3840830449826988E-4</v>
      </c>
      <c r="S65">
        <f t="shared" si="6"/>
        <v>9.0702947845804985E-7</v>
      </c>
      <c r="T65">
        <f t="shared" si="3"/>
        <v>4.1839395924435038E-4</v>
      </c>
      <c r="U65">
        <f t="shared" si="4"/>
        <v>2.0454680619465815E-2</v>
      </c>
      <c r="V65">
        <f t="shared" si="5"/>
        <v>2.0454680619465815E-2</v>
      </c>
    </row>
    <row r="66" spans="1:31" x14ac:dyDescent="0.35">
      <c r="I66" s="8"/>
    </row>
    <row r="67" spans="1:31" x14ac:dyDescent="0.35">
      <c r="A67" s="32" t="s">
        <v>13</v>
      </c>
      <c r="B67">
        <v>0</v>
      </c>
      <c r="C67">
        <v>100</v>
      </c>
      <c r="D67">
        <v>0.1</v>
      </c>
      <c r="E67">
        <v>0</v>
      </c>
      <c r="F67">
        <v>0</v>
      </c>
      <c r="G67">
        <f>C67+E67</f>
        <v>100</v>
      </c>
      <c r="H67">
        <f>(D67/G67)^2</f>
        <v>9.9999999999999995E-7</v>
      </c>
      <c r="I67" s="8"/>
      <c r="J67">
        <v>3.3809999999999998</v>
      </c>
      <c r="K67">
        <v>0.1</v>
      </c>
      <c r="M67">
        <v>8.5</v>
      </c>
      <c r="N67">
        <v>0.1</v>
      </c>
      <c r="P67" s="4" t="s">
        <v>166</v>
      </c>
      <c r="Q67">
        <f t="shared" si="1"/>
        <v>8.7480178085148149E-4</v>
      </c>
      <c r="R67">
        <f t="shared" si="2"/>
        <v>1.3840830449826988E-4</v>
      </c>
      <c r="S67">
        <f t="shared" si="6"/>
        <v>9.9999999999999995E-7</v>
      </c>
      <c r="T67">
        <f t="shared" si="3"/>
        <v>1.0142100853497513E-3</v>
      </c>
      <c r="U67">
        <f t="shared" si="4"/>
        <v>3.1846665215525337E-2</v>
      </c>
      <c r="V67">
        <f t="shared" si="5"/>
        <v>3.1846665215525337E-2</v>
      </c>
    </row>
    <row r="68" spans="1:31" x14ac:dyDescent="0.35">
      <c r="A68" s="32"/>
      <c r="B68">
        <v>0.5</v>
      </c>
      <c r="C68">
        <v>100</v>
      </c>
      <c r="D68">
        <v>0.1</v>
      </c>
      <c r="E68">
        <v>0.5</v>
      </c>
      <c r="F68">
        <v>0.1</v>
      </c>
      <c r="G68">
        <f>C68+E68</f>
        <v>100.5</v>
      </c>
      <c r="H68">
        <f t="shared" ref="H68:H71" si="20">(D68/G68)^2</f>
        <v>9.9007450310635896E-7</v>
      </c>
      <c r="I68" s="8"/>
      <c r="J68">
        <v>4.0179999999999998</v>
      </c>
      <c r="K68">
        <v>0.1</v>
      </c>
      <c r="M68">
        <v>8.5</v>
      </c>
      <c r="N68">
        <v>0.1</v>
      </c>
      <c r="P68" t="s">
        <v>182</v>
      </c>
      <c r="Q68">
        <f t="shared" si="1"/>
        <v>6.1941274221206184E-4</v>
      </c>
      <c r="R68">
        <f t="shared" si="2"/>
        <v>1.3840830449826988E-4</v>
      </c>
      <c r="S68">
        <f t="shared" si="6"/>
        <v>9.9007450310635896E-7</v>
      </c>
      <c r="T68">
        <f t="shared" si="3"/>
        <v>7.5881112121343802E-4</v>
      </c>
      <c r="U68">
        <f t="shared" si="4"/>
        <v>2.7546526481816869E-2</v>
      </c>
      <c r="V68">
        <f t="shared" si="5"/>
        <v>2.7546526481816869E-2</v>
      </c>
    </row>
    <row r="69" spans="1:31" x14ac:dyDescent="0.35">
      <c r="A69" s="32"/>
      <c r="B69">
        <v>1</v>
      </c>
      <c r="C69">
        <v>100</v>
      </c>
      <c r="D69">
        <v>0.1</v>
      </c>
      <c r="E69">
        <v>1</v>
      </c>
      <c r="F69">
        <v>0.1</v>
      </c>
      <c r="G69">
        <f>C69+E69</f>
        <v>101</v>
      </c>
      <c r="H69">
        <f t="shared" si="20"/>
        <v>9.802960494069209E-7</v>
      </c>
      <c r="I69" s="8"/>
      <c r="J69">
        <v>3.9209999999999998</v>
      </c>
      <c r="K69">
        <v>0.1</v>
      </c>
      <c r="M69">
        <v>8.5</v>
      </c>
      <c r="N69">
        <v>0.1</v>
      </c>
      <c r="P69" t="s">
        <v>198</v>
      </c>
      <c r="Q69">
        <f t="shared" si="1"/>
        <v>6.5043861352244989E-4</v>
      </c>
      <c r="R69">
        <f t="shared" si="2"/>
        <v>1.3840830449826988E-4</v>
      </c>
      <c r="S69">
        <f t="shared" si="6"/>
        <v>9.802960494069209E-7</v>
      </c>
      <c r="T69">
        <f t="shared" si="3"/>
        <v>7.8982721407012675E-4</v>
      </c>
      <c r="U69">
        <f t="shared" si="4"/>
        <v>2.8103864753270622E-2</v>
      </c>
      <c r="V69">
        <f t="shared" si="5"/>
        <v>2.8103864753270622E-2</v>
      </c>
    </row>
    <row r="70" spans="1:31" x14ac:dyDescent="0.35">
      <c r="A70" s="32"/>
      <c r="B70">
        <v>2.5</v>
      </c>
      <c r="C70">
        <v>100</v>
      </c>
      <c r="D70">
        <v>0.1</v>
      </c>
      <c r="E70">
        <v>2.5</v>
      </c>
      <c r="F70">
        <v>0.1</v>
      </c>
      <c r="G70">
        <f>C70+E70</f>
        <v>102.5</v>
      </c>
      <c r="H70">
        <f t="shared" si="20"/>
        <v>9.5181439619274262E-7</v>
      </c>
      <c r="J70">
        <v>5.3339999999999996</v>
      </c>
      <c r="K70">
        <v>0.1</v>
      </c>
      <c r="M70">
        <v>8.5</v>
      </c>
      <c r="N70">
        <v>0.1</v>
      </c>
      <c r="P70" t="s">
        <v>214</v>
      </c>
      <c r="Q70">
        <f t="shared" si="1"/>
        <v>3.5147462585174608E-4</v>
      </c>
      <c r="R70">
        <f t="shared" si="2"/>
        <v>1.3840830449826988E-4</v>
      </c>
      <c r="S70">
        <f t="shared" si="6"/>
        <v>9.5181439619274262E-7</v>
      </c>
      <c r="T70">
        <f t="shared" si="3"/>
        <v>4.9083474474620871E-4</v>
      </c>
      <c r="U70">
        <f t="shared" si="4"/>
        <v>2.2154790559745959E-2</v>
      </c>
      <c r="V70">
        <f t="shared" si="5"/>
        <v>2.2154790559745959E-2</v>
      </c>
    </row>
    <row r="71" spans="1:31" x14ac:dyDescent="0.35">
      <c r="A71" s="32"/>
      <c r="B71">
        <v>5</v>
      </c>
      <c r="C71">
        <v>100</v>
      </c>
      <c r="D71">
        <v>0.1</v>
      </c>
      <c r="E71">
        <v>5</v>
      </c>
      <c r="F71">
        <v>0.1</v>
      </c>
      <c r="G71">
        <f>C71+E71</f>
        <v>105</v>
      </c>
      <c r="H71">
        <f t="shared" si="20"/>
        <v>9.0702947845804985E-7</v>
      </c>
      <c r="I71" s="8"/>
      <c r="J71">
        <v>6.4109999999999996</v>
      </c>
      <c r="K71">
        <v>0.1</v>
      </c>
      <c r="M71">
        <v>8.5</v>
      </c>
      <c r="N71">
        <v>0.1</v>
      </c>
      <c r="P71" t="s">
        <v>230</v>
      </c>
      <c r="Q71">
        <f t="shared" si="1"/>
        <v>2.4330355030243732E-4</v>
      </c>
      <c r="R71">
        <f t="shared" si="2"/>
        <v>1.3840830449826988E-4</v>
      </c>
      <c r="S71">
        <f t="shared" si="6"/>
        <v>9.0702947845804985E-7</v>
      </c>
      <c r="T71">
        <f t="shared" si="3"/>
        <v>3.8261888427916523E-4</v>
      </c>
      <c r="U71">
        <f t="shared" si="4"/>
        <v>1.9560646315476521E-2</v>
      </c>
      <c r="V71">
        <f t="shared" si="5"/>
        <v>1.9560646315476521E-2</v>
      </c>
    </row>
    <row r="72" spans="1:31" x14ac:dyDescent="0.35">
      <c r="I72" s="17"/>
    </row>
    <row r="73" spans="1:31" x14ac:dyDescent="0.35">
      <c r="A73" s="32" t="s">
        <v>14</v>
      </c>
      <c r="B73">
        <v>0</v>
      </c>
      <c r="C73">
        <v>100</v>
      </c>
      <c r="D73">
        <v>0.1</v>
      </c>
      <c r="E73">
        <v>0</v>
      </c>
      <c r="F73">
        <v>0</v>
      </c>
      <c r="G73">
        <f>C73+E73</f>
        <v>100</v>
      </c>
      <c r="H73">
        <f>(D73/G73)^2</f>
        <v>9.9999999999999995E-7</v>
      </c>
      <c r="I73" s="8"/>
      <c r="J73">
        <v>3.903</v>
      </c>
      <c r="K73">
        <v>0.1</v>
      </c>
      <c r="M73">
        <v>8.5</v>
      </c>
      <c r="N73">
        <v>0.1</v>
      </c>
      <c r="P73" s="4" t="s">
        <v>165</v>
      </c>
      <c r="Q73">
        <f t="shared" ref="Q73:Q101" si="21">(K73/J73)^2</f>
        <v>6.5645188151910062E-4</v>
      </c>
      <c r="R73">
        <f t="shared" ref="R73:R101" si="22">(N73/M73)^2</f>
        <v>1.3840830449826988E-4</v>
      </c>
      <c r="S73">
        <f t="shared" ref="S73:S101" si="23">H73</f>
        <v>9.9999999999999995E-7</v>
      </c>
      <c r="T73">
        <f t="shared" ref="T73:T101" si="24">S73+R73+Q73</f>
        <v>7.9586018601737047E-4</v>
      </c>
      <c r="U73">
        <f t="shared" ref="U73:U101" si="25">SQRT(T73)</f>
        <v>2.8210994062906936E-2</v>
      </c>
      <c r="V73">
        <f t="shared" ref="V73:V101" si="26">U73</f>
        <v>2.8210994062906936E-2</v>
      </c>
      <c r="Y73">
        <v>47.713999999999999</v>
      </c>
      <c r="Z73">
        <v>0.1</v>
      </c>
      <c r="AA73">
        <f t="shared" ref="AA73:AA100" si="27">(Z73/Y73)^2</f>
        <v>4.3924653834503075E-6</v>
      </c>
      <c r="AB73">
        <f t="shared" ref="AB73:AB100" si="28">S73</f>
        <v>9.9999999999999995E-7</v>
      </c>
      <c r="AC73">
        <f t="shared" ref="AC73:AC100" si="29">AB73+AA73</f>
        <v>5.3924653834503072E-6</v>
      </c>
      <c r="AD73">
        <f t="shared" ref="AD73:AD100" si="30">SQRT(AC73)</f>
        <v>2.3221682504612597E-3</v>
      </c>
      <c r="AE73">
        <f>AD73</f>
        <v>2.3221682504612597E-3</v>
      </c>
    </row>
    <row r="74" spans="1:31" x14ac:dyDescent="0.35">
      <c r="A74" s="32"/>
      <c r="B74">
        <v>0.5</v>
      </c>
      <c r="C74">
        <v>100</v>
      </c>
      <c r="D74">
        <v>0.1</v>
      </c>
      <c r="E74">
        <v>0.5</v>
      </c>
      <c r="F74">
        <v>0.1</v>
      </c>
      <c r="G74">
        <f>C74+E74</f>
        <v>100.5</v>
      </c>
      <c r="H74">
        <f t="shared" ref="H74:H77" si="31">(D74/G74)^2</f>
        <v>9.9007450310635896E-7</v>
      </c>
      <c r="I74" s="8"/>
      <c r="J74">
        <v>4.57</v>
      </c>
      <c r="K74">
        <v>0.1</v>
      </c>
      <c r="M74">
        <v>8.5</v>
      </c>
      <c r="N74">
        <v>0.1</v>
      </c>
      <c r="P74" t="s">
        <v>181</v>
      </c>
      <c r="Q74">
        <f t="shared" si="21"/>
        <v>4.7881483751418483E-4</v>
      </c>
      <c r="R74">
        <f t="shared" si="22"/>
        <v>1.3840830449826988E-4</v>
      </c>
      <c r="S74">
        <f t="shared" si="23"/>
        <v>9.9007450310635896E-7</v>
      </c>
      <c r="T74">
        <f t="shared" si="24"/>
        <v>6.1821321651556107E-4</v>
      </c>
      <c r="U74">
        <f t="shared" si="25"/>
        <v>2.4863893832534779E-2</v>
      </c>
      <c r="V74">
        <f t="shared" si="26"/>
        <v>2.4863893832534779E-2</v>
      </c>
      <c r="Y74">
        <v>51.197000000000003</v>
      </c>
      <c r="Z74">
        <v>0.1</v>
      </c>
      <c r="AA74">
        <f t="shared" si="27"/>
        <v>3.8151443397540568E-6</v>
      </c>
      <c r="AB74">
        <f t="shared" si="28"/>
        <v>9.9007450310635896E-7</v>
      </c>
      <c r="AC74">
        <f t="shared" si="29"/>
        <v>4.8052188428604158E-6</v>
      </c>
      <c r="AD74">
        <f t="shared" si="30"/>
        <v>2.1920809389391659E-3</v>
      </c>
      <c r="AE74">
        <f>AD74</f>
        <v>2.1920809389391659E-3</v>
      </c>
    </row>
    <row r="75" spans="1:31" x14ac:dyDescent="0.35">
      <c r="A75" s="32"/>
      <c r="B75">
        <v>1</v>
      </c>
      <c r="C75">
        <v>100</v>
      </c>
      <c r="D75">
        <v>0.1</v>
      </c>
      <c r="E75">
        <v>1</v>
      </c>
      <c r="F75">
        <v>0.1</v>
      </c>
      <c r="G75">
        <f>C75+E75</f>
        <v>101</v>
      </c>
      <c r="H75">
        <f t="shared" si="31"/>
        <v>9.802960494069209E-7</v>
      </c>
      <c r="I75" s="8"/>
      <c r="J75">
        <v>5.0209999999999999</v>
      </c>
      <c r="K75">
        <v>0.1</v>
      </c>
      <c r="M75">
        <v>8.5</v>
      </c>
      <c r="N75">
        <v>0.1</v>
      </c>
      <c r="P75" t="s">
        <v>197</v>
      </c>
      <c r="Q75">
        <f t="shared" si="21"/>
        <v>3.9666105007841795E-4</v>
      </c>
      <c r="R75">
        <f t="shared" si="22"/>
        <v>1.3840830449826988E-4</v>
      </c>
      <c r="S75">
        <f t="shared" si="23"/>
        <v>9.802960494069209E-7</v>
      </c>
      <c r="T75">
        <f t="shared" si="24"/>
        <v>5.360496506260947E-4</v>
      </c>
      <c r="U75">
        <f t="shared" si="25"/>
        <v>2.3152746070954407E-2</v>
      </c>
      <c r="V75">
        <f t="shared" si="26"/>
        <v>2.3152746070954407E-2</v>
      </c>
      <c r="Y75">
        <v>64.472999999999999</v>
      </c>
      <c r="Z75">
        <v>0.1</v>
      </c>
      <c r="AA75">
        <f t="shared" si="27"/>
        <v>2.4057153663492564E-6</v>
      </c>
      <c r="AB75">
        <f t="shared" si="28"/>
        <v>9.802960494069209E-7</v>
      </c>
      <c r="AC75">
        <f t="shared" si="29"/>
        <v>3.3860114157561775E-6</v>
      </c>
      <c r="AD75">
        <f t="shared" si="30"/>
        <v>1.8401117943636408E-3</v>
      </c>
      <c r="AE75">
        <f>AD75</f>
        <v>1.8401117943636408E-3</v>
      </c>
    </row>
    <row r="76" spans="1:31" x14ac:dyDescent="0.35">
      <c r="A76" s="32"/>
      <c r="B76">
        <v>2.5</v>
      </c>
      <c r="C76">
        <v>100</v>
      </c>
      <c r="D76">
        <v>0.1</v>
      </c>
      <c r="E76">
        <v>2.5</v>
      </c>
      <c r="F76">
        <v>0.1</v>
      </c>
      <c r="G76">
        <f>C76+E76</f>
        <v>102.5</v>
      </c>
      <c r="H76">
        <f t="shared" si="31"/>
        <v>9.5181439619274262E-7</v>
      </c>
      <c r="I76" s="8"/>
      <c r="J76">
        <v>6.923</v>
      </c>
      <c r="K76">
        <v>0.1</v>
      </c>
      <c r="M76">
        <v>8.5</v>
      </c>
      <c r="N76">
        <v>0.1</v>
      </c>
      <c r="P76" t="s">
        <v>213</v>
      </c>
      <c r="Q76">
        <f t="shared" si="21"/>
        <v>2.0864661187425812E-4</v>
      </c>
      <c r="R76">
        <f t="shared" si="22"/>
        <v>1.3840830449826988E-4</v>
      </c>
      <c r="S76">
        <f t="shared" si="23"/>
        <v>9.5181439619274262E-7</v>
      </c>
      <c r="T76">
        <f t="shared" si="24"/>
        <v>3.4800673076872075E-4</v>
      </c>
      <c r="U76">
        <f t="shared" si="25"/>
        <v>1.8654938508843196E-2</v>
      </c>
      <c r="V76">
        <f t="shared" si="26"/>
        <v>1.8654938508843196E-2</v>
      </c>
      <c r="Y76">
        <v>61.616</v>
      </c>
      <c r="Z76">
        <v>0.1</v>
      </c>
      <c r="AA76">
        <f t="shared" si="27"/>
        <v>2.6339831806730067E-6</v>
      </c>
      <c r="AB76">
        <f t="shared" si="28"/>
        <v>9.5181439619274262E-7</v>
      </c>
      <c r="AC76">
        <f t="shared" si="29"/>
        <v>3.5857975768657491E-6</v>
      </c>
      <c r="AD76">
        <f t="shared" si="30"/>
        <v>1.8936202303697933E-3</v>
      </c>
      <c r="AE76">
        <f>AD76</f>
        <v>1.8936202303697933E-3</v>
      </c>
    </row>
    <row r="77" spans="1:31" x14ac:dyDescent="0.35">
      <c r="A77" s="32"/>
      <c r="B77">
        <v>5</v>
      </c>
      <c r="C77">
        <v>100</v>
      </c>
      <c r="D77">
        <v>0.1</v>
      </c>
      <c r="E77">
        <v>5</v>
      </c>
      <c r="F77">
        <v>0.1</v>
      </c>
      <c r="G77">
        <f>C77+E77</f>
        <v>105</v>
      </c>
      <c r="H77">
        <f t="shared" si="31"/>
        <v>9.0702947845804985E-7</v>
      </c>
      <c r="I77" s="8"/>
      <c r="J77">
        <v>7.2439999999999998</v>
      </c>
      <c r="K77">
        <v>0.1</v>
      </c>
      <c r="M77">
        <v>8.5</v>
      </c>
      <c r="N77">
        <v>0.1</v>
      </c>
      <c r="P77" t="s">
        <v>229</v>
      </c>
      <c r="Q77">
        <f t="shared" si="21"/>
        <v>1.9056499013178261E-4</v>
      </c>
      <c r="R77">
        <f t="shared" si="22"/>
        <v>1.3840830449826988E-4</v>
      </c>
      <c r="S77">
        <f t="shared" si="23"/>
        <v>9.0702947845804985E-7</v>
      </c>
      <c r="T77">
        <f t="shared" si="24"/>
        <v>3.2988032410851054E-4</v>
      </c>
      <c r="U77">
        <f t="shared" si="25"/>
        <v>1.8162607855385485E-2</v>
      </c>
      <c r="V77">
        <f t="shared" si="26"/>
        <v>1.8162607855385485E-2</v>
      </c>
    </row>
    <row r="78" spans="1:31" x14ac:dyDescent="0.35">
      <c r="I78" s="17"/>
    </row>
    <row r="79" spans="1:31" x14ac:dyDescent="0.35">
      <c r="A79" s="32" t="s">
        <v>15</v>
      </c>
      <c r="B79">
        <v>0</v>
      </c>
      <c r="C79">
        <v>100</v>
      </c>
      <c r="D79">
        <v>0.1</v>
      </c>
      <c r="E79">
        <v>0</v>
      </c>
      <c r="F79">
        <v>0</v>
      </c>
      <c r="G79">
        <f>C79+E79</f>
        <v>100</v>
      </c>
      <c r="H79">
        <f>(D79/G79)^2</f>
        <v>9.9999999999999995E-7</v>
      </c>
      <c r="I79" s="8"/>
      <c r="J79">
        <v>2.4159999999999999</v>
      </c>
      <c r="K79">
        <v>0.1</v>
      </c>
      <c r="M79">
        <v>8.5</v>
      </c>
      <c r="N79">
        <v>0.1</v>
      </c>
      <c r="P79" s="4" t="s">
        <v>164</v>
      </c>
      <c r="Q79">
        <f t="shared" si="21"/>
        <v>1.713192403841937E-3</v>
      </c>
      <c r="R79">
        <f t="shared" si="22"/>
        <v>1.3840830449826988E-4</v>
      </c>
      <c r="S79">
        <f t="shared" si="23"/>
        <v>9.9999999999999995E-7</v>
      </c>
      <c r="T79">
        <f t="shared" si="24"/>
        <v>1.8526007083402068E-3</v>
      </c>
      <c r="U79">
        <f t="shared" si="25"/>
        <v>4.3041848337870052E-2</v>
      </c>
      <c r="V79">
        <f t="shared" si="26"/>
        <v>4.3041848337870052E-2</v>
      </c>
      <c r="Y79">
        <v>41.572000000000003</v>
      </c>
      <c r="Z79">
        <v>0.1</v>
      </c>
      <c r="AA79">
        <f t="shared" si="27"/>
        <v>5.7862629100667812E-6</v>
      </c>
      <c r="AB79">
        <f t="shared" si="28"/>
        <v>9.9999999999999995E-7</v>
      </c>
      <c r="AC79">
        <f t="shared" si="29"/>
        <v>6.786262910066781E-6</v>
      </c>
      <c r="AD79">
        <f t="shared" si="30"/>
        <v>2.6050456637200779E-3</v>
      </c>
      <c r="AE79">
        <f>AD79</f>
        <v>2.6050456637200779E-3</v>
      </c>
    </row>
    <row r="80" spans="1:31" x14ac:dyDescent="0.35">
      <c r="A80" s="32"/>
      <c r="B80">
        <v>0.5</v>
      </c>
      <c r="C80">
        <v>100</v>
      </c>
      <c r="D80">
        <v>0.1</v>
      </c>
      <c r="E80">
        <v>0.5</v>
      </c>
      <c r="F80">
        <v>0.1</v>
      </c>
      <c r="G80">
        <f>C80+E80</f>
        <v>100.5</v>
      </c>
      <c r="H80">
        <f t="shared" ref="H80:H83" si="32">(D80/G80)^2</f>
        <v>9.9007450310635896E-7</v>
      </c>
      <c r="I80" s="8"/>
      <c r="J80">
        <v>3.3279999999999998</v>
      </c>
      <c r="K80">
        <v>0.1</v>
      </c>
      <c r="M80">
        <v>8.5</v>
      </c>
      <c r="N80">
        <v>0.1</v>
      </c>
      <c r="P80" t="s">
        <v>180</v>
      </c>
      <c r="Q80">
        <f t="shared" si="21"/>
        <v>9.0288692677514815E-4</v>
      </c>
      <c r="R80">
        <f t="shared" si="22"/>
        <v>1.3840830449826988E-4</v>
      </c>
      <c r="S80">
        <f t="shared" si="23"/>
        <v>9.9007450310635896E-7</v>
      </c>
      <c r="T80">
        <f t="shared" si="24"/>
        <v>1.0422853057765243E-3</v>
      </c>
      <c r="U80">
        <f t="shared" si="25"/>
        <v>3.2284443711740246E-2</v>
      </c>
      <c r="V80">
        <f t="shared" si="26"/>
        <v>3.2284443711740246E-2</v>
      </c>
      <c r="Y80">
        <v>46.752000000000002</v>
      </c>
      <c r="Z80">
        <v>0.1</v>
      </c>
      <c r="AA80">
        <f t="shared" si="27"/>
        <v>4.5750896805419108E-6</v>
      </c>
      <c r="AB80">
        <f t="shared" si="28"/>
        <v>9.9007450310635896E-7</v>
      </c>
      <c r="AC80">
        <f t="shared" si="29"/>
        <v>5.5651641836482698E-6</v>
      </c>
      <c r="AD80">
        <f t="shared" si="30"/>
        <v>2.3590600212051132E-3</v>
      </c>
      <c r="AE80">
        <f>AD80</f>
        <v>2.3590600212051132E-3</v>
      </c>
    </row>
    <row r="81" spans="1:31" x14ac:dyDescent="0.35">
      <c r="A81" s="32"/>
      <c r="B81">
        <v>1</v>
      </c>
      <c r="C81">
        <v>100</v>
      </c>
      <c r="D81">
        <v>0.1</v>
      </c>
      <c r="E81">
        <v>1</v>
      </c>
      <c r="F81">
        <v>0.1</v>
      </c>
      <c r="G81">
        <f>C81+E81</f>
        <v>101</v>
      </c>
      <c r="H81">
        <f t="shared" si="32"/>
        <v>9.802960494069209E-7</v>
      </c>
      <c r="I81" s="8"/>
      <c r="J81">
        <v>3.1309999999999998</v>
      </c>
      <c r="K81">
        <v>0.1</v>
      </c>
      <c r="M81">
        <v>8.5</v>
      </c>
      <c r="N81">
        <v>0.1</v>
      </c>
      <c r="P81" t="s">
        <v>196</v>
      </c>
      <c r="Q81">
        <f t="shared" si="21"/>
        <v>1.0200791356991896E-3</v>
      </c>
      <c r="R81">
        <f t="shared" si="22"/>
        <v>1.3840830449826988E-4</v>
      </c>
      <c r="S81">
        <f t="shared" si="23"/>
        <v>9.802960494069209E-7</v>
      </c>
      <c r="T81">
        <f t="shared" si="24"/>
        <v>1.1594677362468664E-3</v>
      </c>
      <c r="U81">
        <f t="shared" si="25"/>
        <v>3.4050957934349903E-2</v>
      </c>
      <c r="V81">
        <f t="shared" si="26"/>
        <v>3.4050957934349903E-2</v>
      </c>
      <c r="Y81">
        <v>48.686</v>
      </c>
      <c r="Z81">
        <v>0.1</v>
      </c>
      <c r="AA81">
        <f t="shared" si="27"/>
        <v>4.2188279104134063E-6</v>
      </c>
      <c r="AB81">
        <f t="shared" si="28"/>
        <v>9.802960494069209E-7</v>
      </c>
      <c r="AC81">
        <f t="shared" si="29"/>
        <v>5.199123959820327E-6</v>
      </c>
      <c r="AD81">
        <f t="shared" si="30"/>
        <v>2.2801587575913057E-3</v>
      </c>
      <c r="AE81">
        <f>AD81</f>
        <v>2.2801587575913057E-3</v>
      </c>
    </row>
    <row r="82" spans="1:31" x14ac:dyDescent="0.35">
      <c r="A82" s="32"/>
      <c r="B82">
        <v>2.5</v>
      </c>
      <c r="C82">
        <v>100</v>
      </c>
      <c r="D82">
        <v>0.1</v>
      </c>
      <c r="E82">
        <v>2.5</v>
      </c>
      <c r="F82">
        <v>0.1</v>
      </c>
      <c r="G82">
        <f>C82+E82</f>
        <v>102.5</v>
      </c>
      <c r="H82">
        <f t="shared" si="32"/>
        <v>9.5181439619274262E-7</v>
      </c>
      <c r="I82" s="17"/>
      <c r="J82">
        <v>3.625</v>
      </c>
      <c r="K82">
        <v>0.1</v>
      </c>
      <c r="M82">
        <v>8.5</v>
      </c>
      <c r="N82">
        <v>0.1</v>
      </c>
      <c r="P82" t="s">
        <v>212</v>
      </c>
      <c r="Q82">
        <f t="shared" si="21"/>
        <v>7.6099881093935813E-4</v>
      </c>
      <c r="R82">
        <f t="shared" si="22"/>
        <v>1.3840830449826988E-4</v>
      </c>
      <c r="S82">
        <f t="shared" si="23"/>
        <v>9.5181439619274262E-7</v>
      </c>
      <c r="T82">
        <f t="shared" si="24"/>
        <v>9.0035892983382081E-4</v>
      </c>
      <c r="U82">
        <f t="shared" si="25"/>
        <v>3.0005981567577836E-2</v>
      </c>
      <c r="V82">
        <f t="shared" si="26"/>
        <v>3.0005981567577836E-2</v>
      </c>
      <c r="Y82">
        <v>71.716999999999999</v>
      </c>
      <c r="Z82">
        <v>0.1</v>
      </c>
      <c r="AA82">
        <f t="shared" si="27"/>
        <v>1.9442664024072141E-6</v>
      </c>
      <c r="AB82">
        <f t="shared" si="28"/>
        <v>9.5181439619274262E-7</v>
      </c>
      <c r="AC82">
        <f t="shared" si="29"/>
        <v>2.8960807985999569E-6</v>
      </c>
      <c r="AD82">
        <f t="shared" si="30"/>
        <v>1.7017875303926625E-3</v>
      </c>
      <c r="AE82">
        <f>AD82</f>
        <v>1.7017875303926625E-3</v>
      </c>
    </row>
    <row r="83" spans="1:31" x14ac:dyDescent="0.35">
      <c r="A83" s="32"/>
      <c r="B83">
        <v>5</v>
      </c>
      <c r="C83">
        <v>100</v>
      </c>
      <c r="D83">
        <v>0.1</v>
      </c>
      <c r="E83">
        <v>5</v>
      </c>
      <c r="F83">
        <v>0.1</v>
      </c>
      <c r="G83">
        <f>C83+E83</f>
        <v>105</v>
      </c>
      <c r="H83">
        <f t="shared" si="32"/>
        <v>9.0702947845804985E-7</v>
      </c>
      <c r="I83" s="8"/>
      <c r="J83">
        <v>4.1859999999999999</v>
      </c>
      <c r="K83">
        <v>0.1</v>
      </c>
      <c r="M83">
        <v>8.5</v>
      </c>
      <c r="N83">
        <v>0.1</v>
      </c>
      <c r="P83" t="s">
        <v>228</v>
      </c>
      <c r="Q83">
        <f t="shared" si="21"/>
        <v>5.7069169431287479E-4</v>
      </c>
      <c r="R83">
        <f t="shared" si="22"/>
        <v>1.3840830449826988E-4</v>
      </c>
      <c r="S83">
        <f t="shared" si="23"/>
        <v>9.0702947845804985E-7</v>
      </c>
      <c r="T83">
        <f t="shared" si="24"/>
        <v>7.1000702828960278E-4</v>
      </c>
      <c r="U83">
        <f t="shared" si="25"/>
        <v>2.6645957072126396E-2</v>
      </c>
      <c r="V83">
        <f t="shared" si="26"/>
        <v>2.6645957072126396E-2</v>
      </c>
    </row>
    <row r="84" spans="1:31" x14ac:dyDescent="0.35">
      <c r="I84" s="8"/>
    </row>
    <row r="85" spans="1:31" x14ac:dyDescent="0.35">
      <c r="A85" s="32" t="s">
        <v>329</v>
      </c>
      <c r="B85">
        <v>0</v>
      </c>
      <c r="C85">
        <v>100</v>
      </c>
      <c r="D85">
        <v>0.1</v>
      </c>
      <c r="E85">
        <v>0</v>
      </c>
      <c r="F85">
        <v>0</v>
      </c>
      <c r="G85">
        <f>C85+E85</f>
        <v>100</v>
      </c>
      <c r="H85">
        <f>(D85/G85)^2</f>
        <v>9.9999999999999995E-7</v>
      </c>
      <c r="I85" s="8"/>
      <c r="J85">
        <v>2.4249999999999998</v>
      </c>
      <c r="K85">
        <v>0.1</v>
      </c>
      <c r="M85">
        <v>8.5</v>
      </c>
      <c r="N85">
        <v>0.1</v>
      </c>
      <c r="P85" s="4" t="s">
        <v>160</v>
      </c>
      <c r="Q85">
        <f t="shared" si="21"/>
        <v>1.70049952173451E-3</v>
      </c>
      <c r="R85">
        <f t="shared" si="22"/>
        <v>1.3840830449826988E-4</v>
      </c>
      <c r="S85">
        <f t="shared" si="23"/>
        <v>9.9999999999999995E-7</v>
      </c>
      <c r="T85">
        <f t="shared" si="24"/>
        <v>1.8399078262327799E-3</v>
      </c>
      <c r="U85">
        <f t="shared" si="25"/>
        <v>4.2894146759584577E-2</v>
      </c>
      <c r="V85">
        <f t="shared" si="26"/>
        <v>4.2894146759584577E-2</v>
      </c>
      <c r="Y85">
        <v>39.198999999999998</v>
      </c>
      <c r="Z85">
        <v>0.1</v>
      </c>
      <c r="AA85">
        <f t="shared" si="27"/>
        <v>6.5080371613425484E-6</v>
      </c>
      <c r="AB85">
        <f t="shared" si="28"/>
        <v>9.9999999999999995E-7</v>
      </c>
      <c r="AC85">
        <f t="shared" si="29"/>
        <v>7.5080371613425481E-6</v>
      </c>
      <c r="AD85">
        <f t="shared" si="30"/>
        <v>2.7400797728063591E-3</v>
      </c>
      <c r="AE85">
        <f>AD85</f>
        <v>2.7400797728063591E-3</v>
      </c>
    </row>
    <row r="86" spans="1:31" x14ac:dyDescent="0.35">
      <c r="A86" s="32"/>
      <c r="B86">
        <v>0.5</v>
      </c>
      <c r="C86">
        <v>100</v>
      </c>
      <c r="D86">
        <v>0.1</v>
      </c>
      <c r="E86">
        <v>0.5</v>
      </c>
      <c r="F86">
        <v>0.1</v>
      </c>
      <c r="G86">
        <f>C86+E86</f>
        <v>100.5</v>
      </c>
      <c r="H86">
        <f t="shared" ref="H86:H89" si="33">(D86/G86)^2</f>
        <v>9.9007450310635896E-7</v>
      </c>
      <c r="I86" s="8"/>
      <c r="J86">
        <v>3.573</v>
      </c>
      <c r="K86">
        <v>0.1</v>
      </c>
      <c r="M86">
        <v>8.5</v>
      </c>
      <c r="N86">
        <v>0.1</v>
      </c>
      <c r="P86" t="s">
        <v>176</v>
      </c>
      <c r="Q86">
        <f t="shared" si="21"/>
        <v>7.833105350802098E-4</v>
      </c>
      <c r="R86">
        <f t="shared" si="22"/>
        <v>1.3840830449826988E-4</v>
      </c>
      <c r="S86">
        <f t="shared" si="23"/>
        <v>9.9007450310635896E-7</v>
      </c>
      <c r="T86">
        <f t="shared" si="24"/>
        <v>9.2270891408158598E-4</v>
      </c>
      <c r="U86">
        <f t="shared" si="25"/>
        <v>3.0376124079309164E-2</v>
      </c>
      <c r="V86">
        <f t="shared" si="26"/>
        <v>3.0376124079309164E-2</v>
      </c>
      <c r="Y86">
        <v>65.227999999999994</v>
      </c>
      <c r="Z86">
        <v>0.1</v>
      </c>
      <c r="AA86">
        <f t="shared" si="27"/>
        <v>2.3503464028901611E-6</v>
      </c>
      <c r="AB86">
        <f t="shared" si="28"/>
        <v>9.9007450310635896E-7</v>
      </c>
      <c r="AC86">
        <f t="shared" si="29"/>
        <v>3.34042090599652E-6</v>
      </c>
      <c r="AD86">
        <f t="shared" si="30"/>
        <v>1.8276818393791958E-3</v>
      </c>
      <c r="AE86">
        <f>AD86</f>
        <v>1.8276818393791958E-3</v>
      </c>
    </row>
    <row r="87" spans="1:31" x14ac:dyDescent="0.35">
      <c r="A87" s="32"/>
      <c r="B87">
        <v>1</v>
      </c>
      <c r="C87">
        <v>100</v>
      </c>
      <c r="D87">
        <v>0.1</v>
      </c>
      <c r="E87">
        <v>1</v>
      </c>
      <c r="F87">
        <v>0.1</v>
      </c>
      <c r="G87">
        <f>C87+E87</f>
        <v>101</v>
      </c>
      <c r="H87">
        <f t="shared" si="33"/>
        <v>9.802960494069209E-7</v>
      </c>
      <c r="I87" s="8"/>
      <c r="J87">
        <v>4.7210000000000001</v>
      </c>
      <c r="K87">
        <v>0.1</v>
      </c>
      <c r="M87">
        <v>8.5</v>
      </c>
      <c r="N87">
        <v>0.1</v>
      </c>
      <c r="P87" t="s">
        <v>192</v>
      </c>
      <c r="Q87">
        <f t="shared" si="21"/>
        <v>4.4867513188020321E-4</v>
      </c>
      <c r="R87">
        <f t="shared" si="22"/>
        <v>1.3840830449826988E-4</v>
      </c>
      <c r="S87">
        <f t="shared" si="23"/>
        <v>9.802960494069209E-7</v>
      </c>
      <c r="T87">
        <f t="shared" si="24"/>
        <v>5.8806373242788006E-4</v>
      </c>
      <c r="U87">
        <f t="shared" si="25"/>
        <v>2.4250025410870811E-2</v>
      </c>
      <c r="V87">
        <f t="shared" si="26"/>
        <v>2.4250025410870811E-2</v>
      </c>
      <c r="Y87">
        <v>64.697000000000003</v>
      </c>
      <c r="Z87">
        <v>0.1</v>
      </c>
      <c r="AA87">
        <f t="shared" si="27"/>
        <v>2.3890856196440531E-6</v>
      </c>
      <c r="AB87">
        <f t="shared" si="28"/>
        <v>9.802960494069209E-7</v>
      </c>
      <c r="AC87">
        <f t="shared" si="29"/>
        <v>3.3693816690509742E-6</v>
      </c>
      <c r="AD87">
        <f t="shared" si="30"/>
        <v>1.8355875541774013E-3</v>
      </c>
      <c r="AE87">
        <f>AD87</f>
        <v>1.8355875541774013E-3</v>
      </c>
    </row>
    <row r="88" spans="1:31" x14ac:dyDescent="0.35">
      <c r="A88" s="32"/>
      <c r="B88">
        <v>2.5</v>
      </c>
      <c r="C88">
        <v>100</v>
      </c>
      <c r="D88">
        <v>0.1</v>
      </c>
      <c r="E88">
        <v>2.5</v>
      </c>
      <c r="F88">
        <v>0.1</v>
      </c>
      <c r="G88">
        <f>C88+E88</f>
        <v>102.5</v>
      </c>
      <c r="H88">
        <f t="shared" si="33"/>
        <v>9.5181439619274262E-7</v>
      </c>
      <c r="I88" s="17"/>
      <c r="J88">
        <v>4.9020000000000001</v>
      </c>
      <c r="K88">
        <v>0.1</v>
      </c>
      <c r="M88">
        <v>8.5</v>
      </c>
      <c r="N88">
        <v>0.1</v>
      </c>
      <c r="P88" t="s">
        <v>208</v>
      </c>
      <c r="Q88">
        <f t="shared" si="21"/>
        <v>4.1615334151990182E-4</v>
      </c>
      <c r="R88">
        <f t="shared" si="22"/>
        <v>1.3840830449826988E-4</v>
      </c>
      <c r="S88">
        <f t="shared" si="23"/>
        <v>9.5181439619274262E-7</v>
      </c>
      <c r="T88">
        <f t="shared" si="24"/>
        <v>5.555134604143645E-4</v>
      </c>
      <c r="U88">
        <f t="shared" si="25"/>
        <v>2.3569333049841792E-2</v>
      </c>
      <c r="V88">
        <f t="shared" si="26"/>
        <v>2.3569333049841792E-2</v>
      </c>
      <c r="Y88">
        <v>69.358999999999995</v>
      </c>
      <c r="Z88">
        <v>0.1</v>
      </c>
      <c r="AA88">
        <f t="shared" si="27"/>
        <v>2.0787121479242182E-6</v>
      </c>
      <c r="AB88">
        <f t="shared" si="28"/>
        <v>9.5181439619274262E-7</v>
      </c>
      <c r="AC88">
        <f t="shared" si="29"/>
        <v>3.0305265441169606E-6</v>
      </c>
      <c r="AD88">
        <f t="shared" si="30"/>
        <v>1.7408407578285157E-3</v>
      </c>
      <c r="AE88">
        <f>AD88</f>
        <v>1.7408407578285157E-3</v>
      </c>
    </row>
    <row r="89" spans="1:31" x14ac:dyDescent="0.35">
      <c r="A89" s="32"/>
      <c r="B89">
        <v>5</v>
      </c>
      <c r="C89">
        <v>100</v>
      </c>
      <c r="D89">
        <v>0.1</v>
      </c>
      <c r="E89">
        <v>5</v>
      </c>
      <c r="F89">
        <v>0.1</v>
      </c>
      <c r="G89">
        <f>C89+E89</f>
        <v>105</v>
      </c>
      <c r="H89">
        <f t="shared" si="33"/>
        <v>9.0702947845804985E-7</v>
      </c>
      <c r="I89" s="8"/>
      <c r="J89">
        <v>5.4630000000000001</v>
      </c>
      <c r="K89">
        <v>0.1</v>
      </c>
      <c r="M89">
        <v>8.5</v>
      </c>
      <c r="N89">
        <v>0.1</v>
      </c>
      <c r="P89" t="s">
        <v>224</v>
      </c>
      <c r="Q89">
        <f t="shared" si="21"/>
        <v>3.3507158419063916E-4</v>
      </c>
      <c r="R89">
        <f t="shared" si="22"/>
        <v>1.3840830449826988E-4</v>
      </c>
      <c r="S89">
        <f t="shared" si="23"/>
        <v>9.0702947845804985E-7</v>
      </c>
      <c r="T89">
        <f t="shared" si="24"/>
        <v>4.743869181673671E-4</v>
      </c>
      <c r="U89">
        <f t="shared" si="25"/>
        <v>2.1780425114477611E-2</v>
      </c>
      <c r="V89">
        <f t="shared" si="26"/>
        <v>2.1780425114477611E-2</v>
      </c>
    </row>
    <row r="90" spans="1:31" x14ac:dyDescent="0.35">
      <c r="I90" s="8"/>
    </row>
    <row r="91" spans="1:31" x14ac:dyDescent="0.35">
      <c r="A91" s="32" t="s">
        <v>330</v>
      </c>
      <c r="B91">
        <v>0</v>
      </c>
      <c r="C91">
        <v>100</v>
      </c>
      <c r="D91">
        <v>0.1</v>
      </c>
      <c r="E91">
        <v>0</v>
      </c>
      <c r="F91">
        <v>0</v>
      </c>
      <c r="G91">
        <f>C91+E91</f>
        <v>100</v>
      </c>
      <c r="H91">
        <f>(D91/G91)^2</f>
        <v>9.9999999999999995E-7</v>
      </c>
      <c r="I91" s="8"/>
      <c r="J91">
        <v>2.4809999999999999</v>
      </c>
      <c r="K91">
        <v>0.1</v>
      </c>
      <c r="M91">
        <v>8.5</v>
      </c>
      <c r="N91">
        <v>0.1</v>
      </c>
      <c r="P91" s="4" t="s">
        <v>161</v>
      </c>
      <c r="Q91">
        <f t="shared" si="21"/>
        <v>1.624600084381729E-3</v>
      </c>
      <c r="R91">
        <f t="shared" si="22"/>
        <v>1.3840830449826988E-4</v>
      </c>
      <c r="S91">
        <f t="shared" si="23"/>
        <v>9.9999999999999995E-7</v>
      </c>
      <c r="T91">
        <f t="shared" si="24"/>
        <v>1.7640083888799988E-3</v>
      </c>
      <c r="U91">
        <f t="shared" si="25"/>
        <v>4.20000998675003E-2</v>
      </c>
      <c r="V91">
        <f t="shared" si="26"/>
        <v>4.20000998675003E-2</v>
      </c>
      <c r="Y91">
        <v>30.013000000000002</v>
      </c>
      <c r="Z91">
        <v>0.1</v>
      </c>
      <c r="AA91">
        <f t="shared" si="27"/>
        <v>1.1101487737126238E-5</v>
      </c>
      <c r="AB91">
        <f t="shared" si="28"/>
        <v>9.9999999999999995E-7</v>
      </c>
      <c r="AC91">
        <f t="shared" si="29"/>
        <v>1.2101487737126238E-5</v>
      </c>
      <c r="AD91">
        <f t="shared" si="30"/>
        <v>3.4787192667886033E-3</v>
      </c>
      <c r="AE91">
        <f>AD91</f>
        <v>3.4787192667886033E-3</v>
      </c>
    </row>
    <row r="92" spans="1:31" x14ac:dyDescent="0.35">
      <c r="A92" s="32"/>
      <c r="B92">
        <v>0.5</v>
      </c>
      <c r="C92">
        <v>100</v>
      </c>
      <c r="D92">
        <v>0.1</v>
      </c>
      <c r="E92">
        <v>0.5</v>
      </c>
      <c r="F92">
        <v>0.1</v>
      </c>
      <c r="G92">
        <f>C92+E92</f>
        <v>100.5</v>
      </c>
      <c r="H92">
        <f t="shared" ref="H92:H95" si="34">(D92/G92)^2</f>
        <v>9.9007450310635896E-7</v>
      </c>
      <c r="I92" s="8"/>
      <c r="J92">
        <v>3.157</v>
      </c>
      <c r="K92">
        <v>0.1</v>
      </c>
      <c r="M92">
        <v>8.5</v>
      </c>
      <c r="N92">
        <v>0.1</v>
      </c>
      <c r="P92" t="s">
        <v>177</v>
      </c>
      <c r="Q92">
        <f t="shared" si="21"/>
        <v>1.0033462601121001E-3</v>
      </c>
      <c r="R92">
        <f t="shared" si="22"/>
        <v>1.3840830449826988E-4</v>
      </c>
      <c r="S92">
        <f t="shared" si="23"/>
        <v>9.9007450310635896E-7</v>
      </c>
      <c r="T92">
        <f t="shared" si="24"/>
        <v>1.1427446391134763E-3</v>
      </c>
      <c r="U92">
        <f t="shared" si="25"/>
        <v>3.3804506195379877E-2</v>
      </c>
      <c r="V92">
        <f t="shared" si="26"/>
        <v>3.3804506195379877E-2</v>
      </c>
      <c r="Y92">
        <v>50.534999999999997</v>
      </c>
      <c r="Z92">
        <v>0.1</v>
      </c>
      <c r="AA92">
        <f t="shared" si="27"/>
        <v>3.9157545381465908E-6</v>
      </c>
      <c r="AB92">
        <f t="shared" si="28"/>
        <v>9.9007450310635896E-7</v>
      </c>
      <c r="AC92">
        <f t="shared" si="29"/>
        <v>4.9058290412529498E-6</v>
      </c>
      <c r="AD92">
        <f t="shared" si="30"/>
        <v>2.214910616989532E-3</v>
      </c>
      <c r="AE92">
        <f>AD92</f>
        <v>2.214910616989532E-3</v>
      </c>
    </row>
    <row r="93" spans="1:31" x14ac:dyDescent="0.35">
      <c r="A93" s="32"/>
      <c r="B93">
        <v>1</v>
      </c>
      <c r="C93">
        <v>100</v>
      </c>
      <c r="D93">
        <v>0.1</v>
      </c>
      <c r="E93">
        <v>1</v>
      </c>
      <c r="F93">
        <v>0.1</v>
      </c>
      <c r="G93">
        <f>C93+E93</f>
        <v>101</v>
      </c>
      <c r="H93">
        <f t="shared" si="34"/>
        <v>9.802960494069209E-7</v>
      </c>
      <c r="I93" s="8"/>
      <c r="J93">
        <v>3.3119999999999998</v>
      </c>
      <c r="K93">
        <v>0.1</v>
      </c>
      <c r="M93">
        <v>8.5</v>
      </c>
      <c r="N93">
        <v>0.1</v>
      </c>
      <c r="P93" t="s">
        <v>193</v>
      </c>
      <c r="Q93">
        <f t="shared" si="21"/>
        <v>9.1163154332656547E-4</v>
      </c>
      <c r="R93">
        <f t="shared" si="22"/>
        <v>1.3840830449826988E-4</v>
      </c>
      <c r="S93">
        <f t="shared" si="23"/>
        <v>9.802960494069209E-7</v>
      </c>
      <c r="T93">
        <f t="shared" si="24"/>
        <v>1.0510201438742423E-3</v>
      </c>
      <c r="U93">
        <f t="shared" si="25"/>
        <v>3.2419440832226615E-2</v>
      </c>
      <c r="V93">
        <f t="shared" si="26"/>
        <v>3.2419440832226615E-2</v>
      </c>
      <c r="Y93">
        <v>62.183999999999997</v>
      </c>
      <c r="Z93">
        <v>0.1</v>
      </c>
      <c r="AA93">
        <f t="shared" si="27"/>
        <v>2.5860843767914847E-6</v>
      </c>
      <c r="AB93">
        <f t="shared" si="28"/>
        <v>9.802960494069209E-7</v>
      </c>
      <c r="AC93">
        <f t="shared" si="29"/>
        <v>3.5663804261984058E-6</v>
      </c>
      <c r="AD93">
        <f t="shared" si="30"/>
        <v>1.888486279060138E-3</v>
      </c>
      <c r="AE93">
        <f>AD93</f>
        <v>1.888486279060138E-3</v>
      </c>
    </row>
    <row r="94" spans="1:31" x14ac:dyDescent="0.35">
      <c r="A94" s="32"/>
      <c r="B94">
        <v>2.5</v>
      </c>
      <c r="C94">
        <v>100</v>
      </c>
      <c r="D94">
        <v>0.1</v>
      </c>
      <c r="E94">
        <v>2.5</v>
      </c>
      <c r="F94">
        <v>0.1</v>
      </c>
      <c r="G94">
        <f>C94+E94</f>
        <v>102.5</v>
      </c>
      <c r="H94">
        <f t="shared" si="34"/>
        <v>9.5181439619274262E-7</v>
      </c>
      <c r="I94" s="17"/>
      <c r="J94">
        <v>4.069</v>
      </c>
      <c r="K94">
        <v>0.1</v>
      </c>
      <c r="M94">
        <v>8.5</v>
      </c>
      <c r="N94">
        <v>0.1</v>
      </c>
      <c r="P94" t="s">
        <v>209</v>
      </c>
      <c r="Q94">
        <f t="shared" si="21"/>
        <v>6.0398286838832791E-4</v>
      </c>
      <c r="R94">
        <f t="shared" si="22"/>
        <v>1.3840830449826988E-4</v>
      </c>
      <c r="S94">
        <f t="shared" si="23"/>
        <v>9.5181439619274262E-7</v>
      </c>
      <c r="T94">
        <f t="shared" si="24"/>
        <v>7.4334298728279059E-4</v>
      </c>
      <c r="U94">
        <f t="shared" si="25"/>
        <v>2.7264317106481698E-2</v>
      </c>
      <c r="V94">
        <f t="shared" si="26"/>
        <v>2.7264317106481698E-2</v>
      </c>
      <c r="Y94">
        <v>62.015999999999998</v>
      </c>
      <c r="Z94">
        <v>0.1</v>
      </c>
      <c r="AA94">
        <f t="shared" si="27"/>
        <v>2.6001146479992251E-6</v>
      </c>
      <c r="AB94">
        <f t="shared" si="28"/>
        <v>9.5181439619274262E-7</v>
      </c>
      <c r="AC94">
        <f t="shared" si="29"/>
        <v>3.5519290441919679E-6</v>
      </c>
      <c r="AD94">
        <f t="shared" si="30"/>
        <v>1.8846562137939025E-3</v>
      </c>
      <c r="AE94">
        <f>AD94</f>
        <v>1.8846562137939025E-3</v>
      </c>
    </row>
    <row r="95" spans="1:31" x14ac:dyDescent="0.35">
      <c r="A95" s="32"/>
      <c r="B95">
        <v>5</v>
      </c>
      <c r="C95">
        <v>100</v>
      </c>
      <c r="D95">
        <v>0.1</v>
      </c>
      <c r="E95">
        <v>5</v>
      </c>
      <c r="F95">
        <v>0.1</v>
      </c>
      <c r="G95">
        <f>C95+E95</f>
        <v>105</v>
      </c>
      <c r="H95">
        <f t="shared" si="34"/>
        <v>9.0702947845804985E-7</v>
      </c>
      <c r="I95" s="8"/>
      <c r="J95">
        <v>5.4690000000000003</v>
      </c>
      <c r="K95">
        <v>0.1</v>
      </c>
      <c r="M95">
        <v>8.5</v>
      </c>
      <c r="N95">
        <v>0.1</v>
      </c>
      <c r="P95" t="s">
        <v>225</v>
      </c>
      <c r="Q95">
        <f t="shared" si="21"/>
        <v>3.3433677830606328E-4</v>
      </c>
      <c r="R95">
        <f t="shared" si="22"/>
        <v>1.3840830449826988E-4</v>
      </c>
      <c r="S95">
        <f t="shared" si="23"/>
        <v>9.0702947845804985E-7</v>
      </c>
      <c r="T95">
        <f t="shared" si="24"/>
        <v>4.7365211228279122E-4</v>
      </c>
      <c r="U95">
        <f t="shared" si="25"/>
        <v>2.1763550084551719E-2</v>
      </c>
      <c r="V95">
        <f t="shared" si="26"/>
        <v>2.1763550084551719E-2</v>
      </c>
    </row>
    <row r="96" spans="1:31" x14ac:dyDescent="0.35">
      <c r="I96" s="8"/>
    </row>
    <row r="97" spans="1:31" x14ac:dyDescent="0.35">
      <c r="A97" s="32" t="s">
        <v>16</v>
      </c>
      <c r="B97">
        <v>0</v>
      </c>
      <c r="C97">
        <v>100</v>
      </c>
      <c r="D97">
        <v>0.1</v>
      </c>
      <c r="E97">
        <v>0</v>
      </c>
      <c r="F97">
        <v>0</v>
      </c>
      <c r="G97">
        <f>C97+E97</f>
        <v>100</v>
      </c>
      <c r="H97">
        <f>(D97/G97)^2</f>
        <v>9.9999999999999995E-7</v>
      </c>
      <c r="I97" s="8"/>
      <c r="J97">
        <v>1.446</v>
      </c>
      <c r="K97">
        <v>0.1</v>
      </c>
      <c r="M97">
        <v>8.5</v>
      </c>
      <c r="N97">
        <v>0.1</v>
      </c>
      <c r="P97" s="4" t="s">
        <v>156</v>
      </c>
      <c r="Q97">
        <f t="shared" si="21"/>
        <v>4.7825928923017477E-3</v>
      </c>
      <c r="R97">
        <f t="shared" si="22"/>
        <v>1.3840830449826988E-4</v>
      </c>
      <c r="S97">
        <f t="shared" si="23"/>
        <v>9.9999999999999995E-7</v>
      </c>
      <c r="T97">
        <f t="shared" si="24"/>
        <v>4.9220011968000178E-3</v>
      </c>
      <c r="U97">
        <f t="shared" si="25"/>
        <v>7.0156975396606272E-2</v>
      </c>
      <c r="V97">
        <f t="shared" si="26"/>
        <v>7.0156975396606272E-2</v>
      </c>
      <c r="Y97">
        <v>32.03</v>
      </c>
      <c r="Z97">
        <v>0.1</v>
      </c>
      <c r="AA97">
        <f t="shared" si="27"/>
        <v>9.7473401701827106E-6</v>
      </c>
      <c r="AB97">
        <f t="shared" si="28"/>
        <v>9.9999999999999995E-7</v>
      </c>
      <c r="AC97">
        <f t="shared" si="29"/>
        <v>1.0747340170182711E-5</v>
      </c>
      <c r="AD97">
        <f t="shared" si="30"/>
        <v>3.2783136168131797E-3</v>
      </c>
      <c r="AE97">
        <f>AD97</f>
        <v>3.2783136168131797E-3</v>
      </c>
    </row>
    <row r="98" spans="1:31" x14ac:dyDescent="0.35">
      <c r="A98" s="32"/>
      <c r="B98">
        <v>0.5</v>
      </c>
      <c r="C98">
        <v>100</v>
      </c>
      <c r="D98">
        <v>0.1</v>
      </c>
      <c r="E98">
        <v>0.5</v>
      </c>
      <c r="F98">
        <v>0.1</v>
      </c>
      <c r="G98">
        <f>C98+E98</f>
        <v>100.5</v>
      </c>
      <c r="H98">
        <f t="shared" ref="H98:H101" si="35">(D98/G98)^2</f>
        <v>9.9007450310635896E-7</v>
      </c>
      <c r="I98" s="8"/>
      <c r="J98">
        <v>5.2</v>
      </c>
      <c r="K98">
        <v>0.1</v>
      </c>
      <c r="M98">
        <v>8.5</v>
      </c>
      <c r="N98">
        <v>0.1</v>
      </c>
      <c r="P98" t="s">
        <v>172</v>
      </c>
      <c r="Q98">
        <f t="shared" si="21"/>
        <v>3.6982248520710064E-4</v>
      </c>
      <c r="R98">
        <f t="shared" si="22"/>
        <v>1.3840830449826988E-4</v>
      </c>
      <c r="S98">
        <f t="shared" si="23"/>
        <v>9.9007450310635896E-7</v>
      </c>
      <c r="T98">
        <f t="shared" si="24"/>
        <v>5.0922086420847681E-4</v>
      </c>
      <c r="U98">
        <f t="shared" si="25"/>
        <v>2.2565922631447553E-2</v>
      </c>
      <c r="V98">
        <f t="shared" si="26"/>
        <v>2.2565922631447553E-2</v>
      </c>
      <c r="Y98">
        <v>58.35</v>
      </c>
      <c r="Z98">
        <v>0.1</v>
      </c>
      <c r="AA98">
        <f t="shared" si="27"/>
        <v>2.9370969293385883E-6</v>
      </c>
      <c r="AB98">
        <f t="shared" si="28"/>
        <v>9.9007450310635896E-7</v>
      </c>
      <c r="AC98">
        <f t="shared" si="29"/>
        <v>3.9271714324449472E-6</v>
      </c>
      <c r="AD98">
        <f t="shared" si="30"/>
        <v>1.9817092199525509E-3</v>
      </c>
      <c r="AE98">
        <f>AD98</f>
        <v>1.9817092199525509E-3</v>
      </c>
    </row>
    <row r="99" spans="1:31" x14ac:dyDescent="0.35">
      <c r="A99" s="32"/>
      <c r="B99">
        <v>1</v>
      </c>
      <c r="C99">
        <v>100</v>
      </c>
      <c r="D99">
        <v>0.1</v>
      </c>
      <c r="E99">
        <v>1</v>
      </c>
      <c r="F99">
        <v>0.1</v>
      </c>
      <c r="G99">
        <f>C99+E99</f>
        <v>101</v>
      </c>
      <c r="H99">
        <f t="shared" si="35"/>
        <v>9.802960494069209E-7</v>
      </c>
      <c r="I99" s="17"/>
      <c r="J99">
        <v>5.1619999999999999</v>
      </c>
      <c r="K99">
        <v>0.1</v>
      </c>
      <c r="M99">
        <v>8.5</v>
      </c>
      <c r="N99">
        <v>0.1</v>
      </c>
      <c r="P99" t="s">
        <v>188</v>
      </c>
      <c r="Q99">
        <f t="shared" si="21"/>
        <v>3.7528741386590924E-4</v>
      </c>
      <c r="R99">
        <f t="shared" si="22"/>
        <v>1.3840830449826988E-4</v>
      </c>
      <c r="S99">
        <f t="shared" si="23"/>
        <v>9.802960494069209E-7</v>
      </c>
      <c r="T99">
        <f t="shared" si="24"/>
        <v>5.1467601441358604E-4</v>
      </c>
      <c r="U99">
        <f t="shared" si="25"/>
        <v>2.2686472057452785E-2</v>
      </c>
      <c r="V99">
        <f t="shared" si="26"/>
        <v>2.2686472057452785E-2</v>
      </c>
      <c r="Y99">
        <v>59.77</v>
      </c>
      <c r="Z99">
        <v>0.1</v>
      </c>
      <c r="AA99">
        <f t="shared" si="27"/>
        <v>2.7991971566651026E-6</v>
      </c>
      <c r="AB99">
        <f t="shared" si="28"/>
        <v>9.802960494069209E-7</v>
      </c>
      <c r="AC99">
        <f t="shared" si="29"/>
        <v>3.7794932060720233E-6</v>
      </c>
      <c r="AD99">
        <f t="shared" si="30"/>
        <v>1.9440918718188253E-3</v>
      </c>
      <c r="AE99">
        <f>AD99</f>
        <v>1.9440918718188253E-3</v>
      </c>
    </row>
    <row r="100" spans="1:31" x14ac:dyDescent="0.35">
      <c r="A100" s="32"/>
      <c r="B100">
        <v>2.5</v>
      </c>
      <c r="C100">
        <v>100</v>
      </c>
      <c r="D100">
        <v>0.1</v>
      </c>
      <c r="E100">
        <v>2.5</v>
      </c>
      <c r="F100">
        <v>0.1</v>
      </c>
      <c r="G100">
        <f>C100+E100</f>
        <v>102.5</v>
      </c>
      <c r="H100">
        <f t="shared" si="35"/>
        <v>9.5181439619274262E-7</v>
      </c>
      <c r="I100" s="8"/>
      <c r="J100">
        <v>5.73</v>
      </c>
      <c r="K100">
        <v>0.1</v>
      </c>
      <c r="M100">
        <v>8.5</v>
      </c>
      <c r="N100">
        <v>0.1</v>
      </c>
      <c r="P100" t="s">
        <v>204</v>
      </c>
      <c r="Q100">
        <f t="shared" si="21"/>
        <v>3.045725476579894E-4</v>
      </c>
      <c r="R100">
        <f t="shared" si="22"/>
        <v>1.3840830449826988E-4</v>
      </c>
      <c r="S100">
        <f t="shared" si="23"/>
        <v>9.5181439619274262E-7</v>
      </c>
      <c r="T100">
        <f t="shared" si="24"/>
        <v>4.4393266655245203E-4</v>
      </c>
      <c r="U100">
        <f t="shared" si="25"/>
        <v>2.1069709693122305E-2</v>
      </c>
      <c r="V100">
        <f t="shared" si="26"/>
        <v>2.1069709693122305E-2</v>
      </c>
      <c r="Y100">
        <v>62</v>
      </c>
      <c r="Z100">
        <v>0.1</v>
      </c>
      <c r="AA100">
        <f t="shared" si="27"/>
        <v>2.6014568158168575E-6</v>
      </c>
      <c r="AB100">
        <f t="shared" si="28"/>
        <v>9.5181439619274262E-7</v>
      </c>
      <c r="AC100">
        <f t="shared" si="29"/>
        <v>3.5532712120096E-6</v>
      </c>
      <c r="AD100">
        <f t="shared" si="30"/>
        <v>1.8850122577876252E-3</v>
      </c>
      <c r="AE100">
        <f>AD100</f>
        <v>1.8850122577876252E-3</v>
      </c>
    </row>
    <row r="101" spans="1:31" x14ac:dyDescent="0.35">
      <c r="A101" s="32"/>
      <c r="B101">
        <v>5</v>
      </c>
      <c r="C101">
        <v>100</v>
      </c>
      <c r="D101">
        <v>0.1</v>
      </c>
      <c r="E101">
        <v>5</v>
      </c>
      <c r="F101">
        <v>0.1</v>
      </c>
      <c r="G101">
        <f>C101+E101</f>
        <v>105</v>
      </c>
      <c r="H101">
        <f t="shared" si="35"/>
        <v>9.0702947845804985E-7</v>
      </c>
      <c r="I101" s="8"/>
      <c r="J101">
        <v>5.44</v>
      </c>
      <c r="K101">
        <v>0.1</v>
      </c>
      <c r="M101">
        <v>8.5</v>
      </c>
      <c r="N101">
        <v>0.1</v>
      </c>
      <c r="P101" t="s">
        <v>220</v>
      </c>
      <c r="Q101">
        <f t="shared" si="21"/>
        <v>3.3791089965397927E-4</v>
      </c>
      <c r="R101">
        <f t="shared" si="22"/>
        <v>1.3840830449826988E-4</v>
      </c>
      <c r="S101">
        <f t="shared" si="23"/>
        <v>9.0702947845804985E-7</v>
      </c>
      <c r="T101">
        <f t="shared" si="24"/>
        <v>4.772262336307072E-4</v>
      </c>
      <c r="U101">
        <f t="shared" si="25"/>
        <v>2.1845508317059302E-2</v>
      </c>
      <c r="V101">
        <f t="shared" si="26"/>
        <v>2.1845508317059302E-2</v>
      </c>
    </row>
    <row r="102" spans="1:31" x14ac:dyDescent="0.35">
      <c r="I102" s="8"/>
    </row>
  </sheetData>
  <mergeCells count="16">
    <mergeCell ref="A37:A41"/>
    <mergeCell ref="A7:A11"/>
    <mergeCell ref="A13:A17"/>
    <mergeCell ref="A19:A23"/>
    <mergeCell ref="A25:A29"/>
    <mergeCell ref="A31:A35"/>
    <mergeCell ref="A79:A83"/>
    <mergeCell ref="A85:A89"/>
    <mergeCell ref="A91:A95"/>
    <mergeCell ref="A97:A101"/>
    <mergeCell ref="A43:A47"/>
    <mergeCell ref="A49:A53"/>
    <mergeCell ref="A55:A59"/>
    <mergeCell ref="A61:A65"/>
    <mergeCell ref="A67:A71"/>
    <mergeCell ref="A73:A7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14111-7971-46A9-9E1D-86C5B388EAEE}">
  <dimension ref="A1:N31"/>
  <sheetViews>
    <sheetView workbookViewId="0">
      <selection sqref="A1:XFD1048576"/>
    </sheetView>
  </sheetViews>
  <sheetFormatPr defaultRowHeight="14.5" x14ac:dyDescent="0.35"/>
  <cols>
    <col min="1" max="1" width="18.26953125" customWidth="1"/>
    <col min="2" max="2" width="16.26953125" customWidth="1"/>
    <col min="3" max="3" width="20.54296875" customWidth="1"/>
    <col min="4" max="4" width="22" customWidth="1"/>
    <col min="5" max="5" width="18.7265625" customWidth="1"/>
    <col min="6" max="6" width="21.26953125" customWidth="1"/>
    <col min="7" max="7" width="13.90625" customWidth="1"/>
    <col min="8" max="8" width="31.81640625" customWidth="1"/>
    <col min="9" max="9" width="15.36328125" customWidth="1"/>
    <col min="10" max="10" width="33.7265625" customWidth="1"/>
    <col min="11" max="11" width="14.36328125" customWidth="1"/>
    <col min="12" max="12" width="15.6328125" customWidth="1"/>
    <col min="13" max="13" width="16.54296875" customWidth="1"/>
    <col min="14" max="14" width="19.36328125" customWidth="1"/>
  </cols>
  <sheetData>
    <row r="1" spans="1:14" x14ac:dyDescent="0.35">
      <c r="H1" s="34" t="s">
        <v>294</v>
      </c>
      <c r="I1" s="34"/>
      <c r="J1" s="34"/>
      <c r="K1" s="34"/>
      <c r="L1" s="34"/>
      <c r="M1" s="34"/>
      <c r="N1" s="34"/>
    </row>
    <row r="2" spans="1:14" x14ac:dyDescent="0.35">
      <c r="A2" t="s">
        <v>295</v>
      </c>
      <c r="B2" t="s">
        <v>296</v>
      </c>
      <c r="C2" t="s">
        <v>297</v>
      </c>
      <c r="D2" t="s">
        <v>298</v>
      </c>
      <c r="E2" t="s">
        <v>299</v>
      </c>
      <c r="F2" t="s">
        <v>300</v>
      </c>
      <c r="H2" t="s">
        <v>301</v>
      </c>
      <c r="I2" t="s">
        <v>302</v>
      </c>
      <c r="J2" t="s">
        <v>303</v>
      </c>
      <c r="K2" t="s">
        <v>302</v>
      </c>
      <c r="L2" t="s">
        <v>304</v>
      </c>
      <c r="M2" t="s">
        <v>305</v>
      </c>
      <c r="N2" t="s">
        <v>306</v>
      </c>
    </row>
    <row r="3" spans="1:14" x14ac:dyDescent="0.35">
      <c r="A3">
        <v>0</v>
      </c>
      <c r="B3" t="s">
        <v>307</v>
      </c>
      <c r="C3">
        <v>100</v>
      </c>
      <c r="D3">
        <v>0.01</v>
      </c>
      <c r="E3">
        <v>0</v>
      </c>
      <c r="F3">
        <v>0.01</v>
      </c>
      <c r="H3">
        <v>0</v>
      </c>
      <c r="I3">
        <f>H3^2</f>
        <v>0</v>
      </c>
      <c r="J3">
        <f>D3/C3</f>
        <v>1E-4</v>
      </c>
      <c r="K3">
        <f>J3^2</f>
        <v>1E-8</v>
      </c>
      <c r="L3">
        <f>I3+K3</f>
        <v>1E-8</v>
      </c>
      <c r="M3">
        <f>SQRT(L3)</f>
        <v>1E-4</v>
      </c>
      <c r="N3" s="3">
        <f>M3*100</f>
        <v>0.01</v>
      </c>
    </row>
    <row r="4" spans="1:14" x14ac:dyDescent="0.35">
      <c r="A4">
        <v>0</v>
      </c>
      <c r="B4" t="s">
        <v>308</v>
      </c>
      <c r="C4">
        <v>200</v>
      </c>
      <c r="D4">
        <v>0.01</v>
      </c>
      <c r="E4">
        <v>0</v>
      </c>
      <c r="F4">
        <v>0.01</v>
      </c>
      <c r="H4">
        <v>0</v>
      </c>
      <c r="I4">
        <f t="shared" ref="I4:I28" si="0">H4^2</f>
        <v>0</v>
      </c>
      <c r="J4">
        <f t="shared" ref="J4:J28" si="1">D4/C4</f>
        <v>5.0000000000000002E-5</v>
      </c>
      <c r="K4">
        <f t="shared" ref="K4:K28" si="2">J4^2</f>
        <v>2.5000000000000001E-9</v>
      </c>
      <c r="L4">
        <f t="shared" ref="L4:L28" si="3">I4+K4</f>
        <v>2.5000000000000001E-9</v>
      </c>
      <c r="M4">
        <f t="shared" ref="M4:M28" si="4">SQRT(L4)</f>
        <v>5.0000000000000002E-5</v>
      </c>
      <c r="N4" s="3">
        <f t="shared" ref="N4:N28" si="5">M4*100</f>
        <v>5.0000000000000001E-3</v>
      </c>
    </row>
    <row r="5" spans="1:14" x14ac:dyDescent="0.35">
      <c r="A5">
        <v>0</v>
      </c>
      <c r="B5" t="s">
        <v>309</v>
      </c>
      <c r="C5">
        <v>6000</v>
      </c>
      <c r="D5">
        <v>0.01</v>
      </c>
      <c r="E5">
        <v>0</v>
      </c>
      <c r="F5">
        <v>0.01</v>
      </c>
      <c r="H5">
        <v>0</v>
      </c>
      <c r="I5">
        <f t="shared" si="0"/>
        <v>0</v>
      </c>
      <c r="J5">
        <f t="shared" si="1"/>
        <v>1.6666666666666667E-6</v>
      </c>
      <c r="K5">
        <f t="shared" si="2"/>
        <v>2.7777777777777777E-12</v>
      </c>
      <c r="L5">
        <f t="shared" si="3"/>
        <v>2.7777777777777777E-12</v>
      </c>
      <c r="M5">
        <f t="shared" si="4"/>
        <v>1.6666666666666667E-6</v>
      </c>
      <c r="N5" s="3">
        <f t="shared" si="5"/>
        <v>1.6666666666666666E-4</v>
      </c>
    </row>
    <row r="6" spans="1:14" x14ac:dyDescent="0.35">
      <c r="A6">
        <v>0.25</v>
      </c>
      <c r="B6" t="s">
        <v>310</v>
      </c>
      <c r="C6">
        <v>100</v>
      </c>
      <c r="D6">
        <v>0.01</v>
      </c>
      <c r="E6">
        <v>0.25</v>
      </c>
      <c r="F6">
        <v>0.01</v>
      </c>
      <c r="H6">
        <f t="shared" ref="H6:H28" si="6">F6/E6</f>
        <v>0.04</v>
      </c>
      <c r="I6">
        <f t="shared" si="0"/>
        <v>1.6000000000000001E-3</v>
      </c>
      <c r="J6">
        <f t="shared" si="1"/>
        <v>1E-4</v>
      </c>
      <c r="K6">
        <f t="shared" si="2"/>
        <v>1E-8</v>
      </c>
      <c r="L6">
        <f t="shared" si="3"/>
        <v>1.60001E-3</v>
      </c>
      <c r="M6">
        <f t="shared" si="4"/>
        <v>4.0000124999804688E-2</v>
      </c>
      <c r="N6" s="3">
        <f t="shared" si="5"/>
        <v>4.0000124999804685</v>
      </c>
    </row>
    <row r="7" spans="1:14" x14ac:dyDescent="0.35">
      <c r="A7">
        <v>0.25</v>
      </c>
      <c r="B7" t="s">
        <v>311</v>
      </c>
      <c r="C7">
        <v>200</v>
      </c>
      <c r="D7">
        <v>0.01</v>
      </c>
      <c r="E7">
        <v>0.5</v>
      </c>
      <c r="F7">
        <v>0.01</v>
      </c>
      <c r="H7">
        <f t="shared" si="6"/>
        <v>0.02</v>
      </c>
      <c r="I7">
        <f t="shared" si="0"/>
        <v>4.0000000000000002E-4</v>
      </c>
      <c r="J7">
        <f t="shared" si="1"/>
        <v>5.0000000000000002E-5</v>
      </c>
      <c r="K7">
        <f t="shared" si="2"/>
        <v>2.5000000000000001E-9</v>
      </c>
      <c r="L7">
        <f t="shared" si="3"/>
        <v>4.000025E-4</v>
      </c>
      <c r="M7">
        <f t="shared" si="4"/>
        <v>2.0000062499902344E-2</v>
      </c>
      <c r="N7" s="3">
        <f t="shared" si="5"/>
        <v>2.0000062499902342</v>
      </c>
    </row>
    <row r="8" spans="1:14" x14ac:dyDescent="0.35">
      <c r="A8">
        <v>0.5</v>
      </c>
      <c r="B8" t="s">
        <v>310</v>
      </c>
      <c r="C8">
        <v>100</v>
      </c>
      <c r="D8">
        <v>0.01</v>
      </c>
      <c r="E8">
        <v>0.5</v>
      </c>
      <c r="F8">
        <v>0.01</v>
      </c>
      <c r="H8">
        <f t="shared" si="6"/>
        <v>0.02</v>
      </c>
      <c r="I8">
        <f t="shared" si="0"/>
        <v>4.0000000000000002E-4</v>
      </c>
      <c r="J8">
        <f t="shared" si="1"/>
        <v>1E-4</v>
      </c>
      <c r="K8">
        <f t="shared" si="2"/>
        <v>1E-8</v>
      </c>
      <c r="L8">
        <f t="shared" si="3"/>
        <v>4.0001000000000001E-4</v>
      </c>
      <c r="M8">
        <f t="shared" si="4"/>
        <v>2.0000249998437521E-2</v>
      </c>
      <c r="N8" s="3">
        <f t="shared" si="5"/>
        <v>2.000024999843752</v>
      </c>
    </row>
    <row r="9" spans="1:14" x14ac:dyDescent="0.35">
      <c r="A9">
        <v>0.5</v>
      </c>
      <c r="B9" t="s">
        <v>311</v>
      </c>
      <c r="C9">
        <v>200</v>
      </c>
      <c r="D9">
        <v>0.01</v>
      </c>
      <c r="E9">
        <v>1</v>
      </c>
      <c r="F9">
        <v>0.01</v>
      </c>
      <c r="H9">
        <f t="shared" si="6"/>
        <v>0.01</v>
      </c>
      <c r="I9">
        <f t="shared" si="0"/>
        <v>1E-4</v>
      </c>
      <c r="J9">
        <f t="shared" si="1"/>
        <v>5.0000000000000002E-5</v>
      </c>
      <c r="K9">
        <f t="shared" si="2"/>
        <v>2.5000000000000001E-9</v>
      </c>
      <c r="L9">
        <f t="shared" si="3"/>
        <v>1.000025E-4</v>
      </c>
      <c r="M9">
        <f t="shared" si="4"/>
        <v>1.0000124999218761E-2</v>
      </c>
      <c r="N9" s="3">
        <f t="shared" si="5"/>
        <v>1.000012499921876</v>
      </c>
    </row>
    <row r="10" spans="1:14" x14ac:dyDescent="0.35">
      <c r="A10">
        <v>1</v>
      </c>
      <c r="B10" t="s">
        <v>310</v>
      </c>
      <c r="C10">
        <v>100</v>
      </c>
      <c r="D10">
        <v>0.01</v>
      </c>
      <c r="E10">
        <v>1</v>
      </c>
      <c r="F10">
        <v>0.01</v>
      </c>
      <c r="H10">
        <f t="shared" si="6"/>
        <v>0.01</v>
      </c>
      <c r="I10">
        <f t="shared" si="0"/>
        <v>1E-4</v>
      </c>
      <c r="J10">
        <f t="shared" si="1"/>
        <v>1E-4</v>
      </c>
      <c r="K10">
        <f t="shared" si="2"/>
        <v>1E-8</v>
      </c>
      <c r="L10">
        <f t="shared" si="3"/>
        <v>1.0001E-4</v>
      </c>
      <c r="M10">
        <f t="shared" si="4"/>
        <v>1.0000499987500624E-2</v>
      </c>
      <c r="N10" s="3">
        <f t="shared" si="5"/>
        <v>1.0000499987500624</v>
      </c>
    </row>
    <row r="11" spans="1:14" x14ac:dyDescent="0.35">
      <c r="A11">
        <v>1</v>
      </c>
      <c r="B11" t="s">
        <v>311</v>
      </c>
      <c r="C11">
        <v>200</v>
      </c>
      <c r="D11">
        <v>0.01</v>
      </c>
      <c r="E11">
        <v>2</v>
      </c>
      <c r="F11">
        <v>0.01</v>
      </c>
      <c r="H11">
        <f t="shared" si="6"/>
        <v>5.0000000000000001E-3</v>
      </c>
      <c r="I11">
        <f t="shared" si="0"/>
        <v>2.5000000000000001E-5</v>
      </c>
      <c r="J11">
        <f t="shared" si="1"/>
        <v>5.0000000000000002E-5</v>
      </c>
      <c r="K11">
        <f t="shared" si="2"/>
        <v>2.5000000000000001E-9</v>
      </c>
      <c r="L11">
        <f t="shared" si="3"/>
        <v>2.50025E-5</v>
      </c>
      <c r="M11">
        <f t="shared" si="4"/>
        <v>5.0002499937503121E-3</v>
      </c>
      <c r="N11" s="3">
        <f t="shared" si="5"/>
        <v>0.5000249993750312</v>
      </c>
    </row>
    <row r="12" spans="1:14" x14ac:dyDescent="0.35">
      <c r="A12">
        <v>2.5</v>
      </c>
      <c r="B12" t="s">
        <v>310</v>
      </c>
      <c r="C12">
        <v>100</v>
      </c>
      <c r="D12">
        <v>0.01</v>
      </c>
      <c r="E12">
        <v>2.5</v>
      </c>
      <c r="F12">
        <v>0.01</v>
      </c>
      <c r="H12">
        <f t="shared" si="6"/>
        <v>4.0000000000000001E-3</v>
      </c>
      <c r="I12">
        <f t="shared" si="0"/>
        <v>1.5999999999999999E-5</v>
      </c>
      <c r="J12">
        <f t="shared" si="1"/>
        <v>1E-4</v>
      </c>
      <c r="K12">
        <f t="shared" si="2"/>
        <v>1E-8</v>
      </c>
      <c r="L12">
        <f t="shared" si="3"/>
        <v>1.6010000000000001E-5</v>
      </c>
      <c r="M12">
        <f t="shared" si="4"/>
        <v>4.001249804748511E-3</v>
      </c>
      <c r="N12" s="3">
        <f t="shared" si="5"/>
        <v>0.40012498047485112</v>
      </c>
    </row>
    <row r="13" spans="1:14" x14ac:dyDescent="0.35">
      <c r="A13">
        <v>2.5</v>
      </c>
      <c r="B13" t="s">
        <v>311</v>
      </c>
      <c r="C13">
        <v>200</v>
      </c>
      <c r="D13">
        <v>0.01</v>
      </c>
      <c r="E13">
        <v>5</v>
      </c>
      <c r="F13">
        <v>0.01</v>
      </c>
      <c r="H13">
        <f t="shared" si="6"/>
        <v>2E-3</v>
      </c>
      <c r="I13">
        <f t="shared" si="0"/>
        <v>3.9999999999999998E-6</v>
      </c>
      <c r="J13">
        <f t="shared" si="1"/>
        <v>5.0000000000000002E-5</v>
      </c>
      <c r="K13">
        <f t="shared" si="2"/>
        <v>2.5000000000000001E-9</v>
      </c>
      <c r="L13">
        <f t="shared" si="3"/>
        <v>4.0025000000000002E-6</v>
      </c>
      <c r="M13">
        <f t="shared" si="4"/>
        <v>2.0006249023742555E-3</v>
      </c>
      <c r="N13" s="3">
        <f t="shared" si="5"/>
        <v>0.20006249023742556</v>
      </c>
    </row>
    <row r="14" spans="1:14" x14ac:dyDescent="0.35">
      <c r="A14">
        <v>2.5</v>
      </c>
      <c r="B14" t="s">
        <v>312</v>
      </c>
      <c r="C14">
        <v>6000</v>
      </c>
      <c r="D14">
        <v>0.01</v>
      </c>
      <c r="E14">
        <v>150</v>
      </c>
      <c r="F14">
        <v>0.01</v>
      </c>
      <c r="H14">
        <f t="shared" si="6"/>
        <v>6.666666666666667E-5</v>
      </c>
      <c r="I14">
        <f t="shared" si="0"/>
        <v>4.4444444444444451E-9</v>
      </c>
      <c r="J14">
        <f t="shared" si="1"/>
        <v>1.6666666666666667E-6</v>
      </c>
      <c r="K14">
        <f t="shared" si="2"/>
        <v>2.7777777777777777E-12</v>
      </c>
      <c r="L14">
        <f t="shared" si="3"/>
        <v>4.4472222222222226E-9</v>
      </c>
      <c r="M14">
        <f t="shared" si="4"/>
        <v>6.6687496745808529E-5</v>
      </c>
      <c r="N14" s="3">
        <f t="shared" si="5"/>
        <v>6.6687496745808528E-3</v>
      </c>
    </row>
    <row r="15" spans="1:14" x14ac:dyDescent="0.35">
      <c r="A15">
        <v>5</v>
      </c>
      <c r="B15" t="s">
        <v>310</v>
      </c>
      <c r="C15">
        <v>100</v>
      </c>
      <c r="D15">
        <v>0.01</v>
      </c>
      <c r="E15">
        <v>5</v>
      </c>
      <c r="F15">
        <v>0.01</v>
      </c>
      <c r="H15">
        <f t="shared" si="6"/>
        <v>2E-3</v>
      </c>
      <c r="I15">
        <f t="shared" si="0"/>
        <v>3.9999999999999998E-6</v>
      </c>
      <c r="J15">
        <f t="shared" si="1"/>
        <v>1E-4</v>
      </c>
      <c r="K15">
        <f t="shared" si="2"/>
        <v>1E-8</v>
      </c>
      <c r="L15">
        <f t="shared" si="3"/>
        <v>4.0099999999999997E-6</v>
      </c>
      <c r="M15">
        <f t="shared" si="4"/>
        <v>2.0024984394500784E-3</v>
      </c>
      <c r="N15" s="3">
        <f t="shared" si="5"/>
        <v>0.20024984394500783</v>
      </c>
    </row>
    <row r="16" spans="1:14" x14ac:dyDescent="0.35">
      <c r="A16">
        <v>5</v>
      </c>
      <c r="B16" t="s">
        <v>311</v>
      </c>
      <c r="C16">
        <v>200</v>
      </c>
      <c r="D16">
        <v>0.01</v>
      </c>
      <c r="E16">
        <v>10</v>
      </c>
      <c r="F16">
        <v>0.01</v>
      </c>
      <c r="H16">
        <f t="shared" si="6"/>
        <v>1E-3</v>
      </c>
      <c r="I16">
        <f t="shared" si="0"/>
        <v>9.9999999999999995E-7</v>
      </c>
      <c r="J16">
        <f t="shared" si="1"/>
        <v>5.0000000000000002E-5</v>
      </c>
      <c r="K16">
        <f t="shared" si="2"/>
        <v>2.5000000000000001E-9</v>
      </c>
      <c r="L16">
        <f t="shared" si="3"/>
        <v>1.0024999999999999E-6</v>
      </c>
      <c r="M16">
        <f t="shared" si="4"/>
        <v>1.0012492197250392E-3</v>
      </c>
      <c r="N16" s="3">
        <f t="shared" si="5"/>
        <v>0.10012492197250392</v>
      </c>
    </row>
    <row r="17" spans="1:14" x14ac:dyDescent="0.35">
      <c r="A17">
        <v>7.5</v>
      </c>
      <c r="B17" t="s">
        <v>310</v>
      </c>
      <c r="C17">
        <v>100</v>
      </c>
      <c r="D17">
        <v>0.01</v>
      </c>
      <c r="E17">
        <v>7.5</v>
      </c>
      <c r="F17">
        <v>0.01</v>
      </c>
      <c r="H17">
        <f t="shared" si="6"/>
        <v>1.3333333333333333E-3</v>
      </c>
      <c r="I17">
        <f t="shared" si="0"/>
        <v>1.7777777777777777E-6</v>
      </c>
      <c r="J17">
        <f t="shared" si="1"/>
        <v>1E-4</v>
      </c>
      <c r="K17">
        <f t="shared" si="2"/>
        <v>1E-8</v>
      </c>
      <c r="L17">
        <f t="shared" si="3"/>
        <v>1.7877777777777776E-6</v>
      </c>
      <c r="M17">
        <f t="shared" si="4"/>
        <v>1.3370780746754386E-3</v>
      </c>
      <c r="N17" s="3">
        <f t="shared" si="5"/>
        <v>0.13370780746754385</v>
      </c>
    </row>
    <row r="18" spans="1:14" x14ac:dyDescent="0.35">
      <c r="A18">
        <v>7.5</v>
      </c>
      <c r="B18" t="s">
        <v>311</v>
      </c>
      <c r="C18">
        <v>200</v>
      </c>
      <c r="D18">
        <v>0.01</v>
      </c>
      <c r="E18">
        <v>15</v>
      </c>
      <c r="F18">
        <v>0.01</v>
      </c>
      <c r="H18">
        <f t="shared" si="6"/>
        <v>6.6666666666666664E-4</v>
      </c>
      <c r="I18">
        <f t="shared" si="0"/>
        <v>4.4444444444444444E-7</v>
      </c>
      <c r="J18">
        <f t="shared" si="1"/>
        <v>5.0000000000000002E-5</v>
      </c>
      <c r="K18">
        <f t="shared" si="2"/>
        <v>2.5000000000000001E-9</v>
      </c>
      <c r="L18">
        <f t="shared" si="3"/>
        <v>4.4694444444444441E-7</v>
      </c>
      <c r="M18">
        <f t="shared" si="4"/>
        <v>6.6853903733771929E-4</v>
      </c>
      <c r="N18" s="3">
        <f t="shared" si="5"/>
        <v>6.6853903733771924E-2</v>
      </c>
    </row>
    <row r="19" spans="1:14" x14ac:dyDescent="0.35">
      <c r="A19">
        <v>10</v>
      </c>
      <c r="B19" t="s">
        <v>310</v>
      </c>
      <c r="C19">
        <v>100</v>
      </c>
      <c r="D19">
        <v>0.01</v>
      </c>
      <c r="E19">
        <v>10</v>
      </c>
      <c r="F19">
        <v>0.01</v>
      </c>
      <c r="H19">
        <f t="shared" si="6"/>
        <v>1E-3</v>
      </c>
      <c r="I19">
        <f t="shared" si="0"/>
        <v>9.9999999999999995E-7</v>
      </c>
      <c r="J19">
        <f t="shared" si="1"/>
        <v>1E-4</v>
      </c>
      <c r="K19">
        <f t="shared" si="2"/>
        <v>1E-8</v>
      </c>
      <c r="L19">
        <f t="shared" si="3"/>
        <v>1.0099999999999999E-6</v>
      </c>
      <c r="M19">
        <f t="shared" si="4"/>
        <v>1.004987562112089E-3</v>
      </c>
      <c r="N19" s="3">
        <f t="shared" si="5"/>
        <v>0.10049875621120891</v>
      </c>
    </row>
    <row r="20" spans="1:14" x14ac:dyDescent="0.35">
      <c r="A20">
        <v>10</v>
      </c>
      <c r="B20" t="s">
        <v>311</v>
      </c>
      <c r="C20">
        <v>200</v>
      </c>
      <c r="D20">
        <v>0.01</v>
      </c>
      <c r="E20">
        <v>20</v>
      </c>
      <c r="F20">
        <v>0.01</v>
      </c>
      <c r="H20">
        <f t="shared" si="6"/>
        <v>5.0000000000000001E-4</v>
      </c>
      <c r="I20">
        <f t="shared" si="0"/>
        <v>2.4999999999999999E-7</v>
      </c>
      <c r="J20">
        <f t="shared" si="1"/>
        <v>5.0000000000000002E-5</v>
      </c>
      <c r="K20">
        <f t="shared" si="2"/>
        <v>2.5000000000000001E-9</v>
      </c>
      <c r="L20">
        <f t="shared" si="3"/>
        <v>2.5249999999999996E-7</v>
      </c>
      <c r="M20">
        <f t="shared" si="4"/>
        <v>5.0249378105604451E-4</v>
      </c>
      <c r="N20" s="3">
        <f t="shared" si="5"/>
        <v>5.0249378105604453E-2</v>
      </c>
    </row>
    <row r="21" spans="1:14" x14ac:dyDescent="0.35">
      <c r="A21">
        <v>15</v>
      </c>
      <c r="B21" t="s">
        <v>313</v>
      </c>
      <c r="C21">
        <v>100</v>
      </c>
      <c r="D21">
        <v>0.01</v>
      </c>
      <c r="E21">
        <v>15</v>
      </c>
      <c r="F21">
        <v>0.01</v>
      </c>
      <c r="H21">
        <f t="shared" si="6"/>
        <v>6.6666666666666664E-4</v>
      </c>
      <c r="I21">
        <f t="shared" si="0"/>
        <v>4.4444444444444444E-7</v>
      </c>
      <c r="J21">
        <f t="shared" si="1"/>
        <v>1E-4</v>
      </c>
      <c r="K21">
        <f t="shared" si="2"/>
        <v>1E-8</v>
      </c>
      <c r="L21">
        <f t="shared" si="3"/>
        <v>4.5444444444444445E-7</v>
      </c>
      <c r="M21">
        <f t="shared" si="4"/>
        <v>6.741249472052228E-4</v>
      </c>
      <c r="N21" s="3">
        <f t="shared" si="5"/>
        <v>6.7412494720522284E-2</v>
      </c>
    </row>
    <row r="22" spans="1:14" x14ac:dyDescent="0.35">
      <c r="A22">
        <v>25</v>
      </c>
      <c r="B22" t="s">
        <v>313</v>
      </c>
      <c r="C22">
        <v>100</v>
      </c>
      <c r="D22">
        <v>0.01</v>
      </c>
      <c r="E22">
        <v>25</v>
      </c>
      <c r="F22">
        <v>0.01</v>
      </c>
      <c r="H22">
        <f t="shared" si="6"/>
        <v>4.0000000000000002E-4</v>
      </c>
      <c r="I22">
        <f t="shared" si="0"/>
        <v>1.6E-7</v>
      </c>
      <c r="J22">
        <f t="shared" si="1"/>
        <v>1E-4</v>
      </c>
      <c r="K22">
        <f t="shared" si="2"/>
        <v>1E-8</v>
      </c>
      <c r="L22">
        <f t="shared" si="3"/>
        <v>1.7000000000000001E-7</v>
      </c>
      <c r="M22">
        <f t="shared" si="4"/>
        <v>4.1231056256176609E-4</v>
      </c>
      <c r="N22" s="3">
        <f t="shared" si="5"/>
        <v>4.123105625617661E-2</v>
      </c>
    </row>
    <row r="23" spans="1:14" x14ac:dyDescent="0.35">
      <c r="A23">
        <v>30</v>
      </c>
      <c r="B23" t="s">
        <v>313</v>
      </c>
      <c r="C23">
        <v>100</v>
      </c>
      <c r="D23">
        <v>0.01</v>
      </c>
      <c r="E23">
        <v>30</v>
      </c>
      <c r="F23">
        <v>0.01</v>
      </c>
      <c r="H23">
        <f t="shared" si="6"/>
        <v>3.3333333333333332E-4</v>
      </c>
      <c r="I23">
        <f t="shared" si="0"/>
        <v>1.1111111111111111E-7</v>
      </c>
      <c r="J23">
        <f t="shared" si="1"/>
        <v>1E-4</v>
      </c>
      <c r="K23">
        <f t="shared" si="2"/>
        <v>1E-8</v>
      </c>
      <c r="L23">
        <f t="shared" si="3"/>
        <v>1.2111111111111112E-7</v>
      </c>
      <c r="M23">
        <f t="shared" si="4"/>
        <v>3.4801021696368502E-4</v>
      </c>
      <c r="N23" s="3">
        <f t="shared" si="5"/>
        <v>3.4801021696368506E-2</v>
      </c>
    </row>
    <row r="24" spans="1:14" x14ac:dyDescent="0.35">
      <c r="A24">
        <v>40</v>
      </c>
      <c r="B24" t="s">
        <v>313</v>
      </c>
      <c r="C24">
        <v>100</v>
      </c>
      <c r="D24">
        <v>0.01</v>
      </c>
      <c r="E24">
        <v>40</v>
      </c>
      <c r="F24">
        <v>0.01</v>
      </c>
      <c r="H24">
        <f t="shared" si="6"/>
        <v>2.5000000000000001E-4</v>
      </c>
      <c r="I24">
        <f t="shared" si="0"/>
        <v>6.2499999999999997E-8</v>
      </c>
      <c r="J24">
        <f t="shared" si="1"/>
        <v>1E-4</v>
      </c>
      <c r="K24">
        <f t="shared" si="2"/>
        <v>1E-8</v>
      </c>
      <c r="L24">
        <f t="shared" si="3"/>
        <v>7.2499999999999994E-8</v>
      </c>
      <c r="M24">
        <f t="shared" si="4"/>
        <v>2.6925824035672517E-4</v>
      </c>
      <c r="N24" s="3">
        <f t="shared" si="5"/>
        <v>2.6925824035672518E-2</v>
      </c>
    </row>
    <row r="25" spans="1:14" x14ac:dyDescent="0.35">
      <c r="A25">
        <v>50</v>
      </c>
      <c r="B25" t="s">
        <v>313</v>
      </c>
      <c r="C25">
        <v>100</v>
      </c>
      <c r="D25">
        <v>0.01</v>
      </c>
      <c r="E25">
        <v>50</v>
      </c>
      <c r="F25">
        <v>0.01</v>
      </c>
      <c r="H25">
        <f t="shared" si="6"/>
        <v>2.0000000000000001E-4</v>
      </c>
      <c r="I25">
        <f t="shared" si="0"/>
        <v>4.0000000000000001E-8</v>
      </c>
      <c r="J25">
        <f t="shared" si="1"/>
        <v>1E-4</v>
      </c>
      <c r="K25">
        <f t="shared" si="2"/>
        <v>1E-8</v>
      </c>
      <c r="L25">
        <f t="shared" si="3"/>
        <v>4.9999999999999998E-8</v>
      </c>
      <c r="M25">
        <f t="shared" si="4"/>
        <v>2.2360679774997898E-4</v>
      </c>
      <c r="N25" s="3">
        <f t="shared" si="5"/>
        <v>2.2360679774997897E-2</v>
      </c>
    </row>
    <row r="26" spans="1:14" x14ac:dyDescent="0.35">
      <c r="A26">
        <v>60</v>
      </c>
      <c r="B26" t="s">
        <v>313</v>
      </c>
      <c r="C26">
        <v>100</v>
      </c>
      <c r="D26">
        <v>0.01</v>
      </c>
      <c r="E26">
        <v>60</v>
      </c>
      <c r="F26">
        <v>0.01</v>
      </c>
      <c r="H26">
        <f t="shared" si="6"/>
        <v>1.6666666666666666E-4</v>
      </c>
      <c r="I26">
        <f t="shared" si="0"/>
        <v>2.7777777777777777E-8</v>
      </c>
      <c r="J26">
        <f t="shared" si="1"/>
        <v>1E-4</v>
      </c>
      <c r="K26">
        <f t="shared" si="2"/>
        <v>1E-8</v>
      </c>
      <c r="L26">
        <f t="shared" si="3"/>
        <v>3.7777777777777781E-8</v>
      </c>
      <c r="M26">
        <f t="shared" si="4"/>
        <v>1.9436506316151001E-4</v>
      </c>
      <c r="N26" s="3">
        <f t="shared" si="5"/>
        <v>1.9436506316151E-2</v>
      </c>
    </row>
    <row r="27" spans="1:14" x14ac:dyDescent="0.35">
      <c r="A27">
        <v>70</v>
      </c>
      <c r="B27" t="s">
        <v>313</v>
      </c>
      <c r="C27">
        <v>100</v>
      </c>
      <c r="D27">
        <v>0.01</v>
      </c>
      <c r="E27">
        <v>70</v>
      </c>
      <c r="F27">
        <v>0.01</v>
      </c>
      <c r="H27">
        <f t="shared" si="6"/>
        <v>1.4285714285714287E-4</v>
      </c>
      <c r="I27">
        <f t="shared" si="0"/>
        <v>2.0408163265306127E-8</v>
      </c>
      <c r="J27">
        <f t="shared" si="1"/>
        <v>1E-4</v>
      </c>
      <c r="K27">
        <f t="shared" si="2"/>
        <v>1E-8</v>
      </c>
      <c r="L27">
        <f t="shared" si="3"/>
        <v>3.0408163265306124E-8</v>
      </c>
      <c r="M27">
        <f t="shared" si="4"/>
        <v>1.7437936593905291E-4</v>
      </c>
      <c r="N27" s="3">
        <f t="shared" si="5"/>
        <v>1.7437936593905291E-2</v>
      </c>
    </row>
    <row r="28" spans="1:14" x14ac:dyDescent="0.35">
      <c r="A28">
        <v>90</v>
      </c>
      <c r="B28" t="s">
        <v>313</v>
      </c>
      <c r="C28">
        <v>100</v>
      </c>
      <c r="D28">
        <v>0.01</v>
      </c>
      <c r="E28">
        <v>90</v>
      </c>
      <c r="F28">
        <v>0.01</v>
      </c>
      <c r="H28">
        <f t="shared" si="6"/>
        <v>1.1111111111111112E-4</v>
      </c>
      <c r="I28">
        <f t="shared" si="0"/>
        <v>1.2345679012345681E-8</v>
      </c>
      <c r="J28">
        <f t="shared" si="1"/>
        <v>1E-4</v>
      </c>
      <c r="K28">
        <f t="shared" si="2"/>
        <v>1E-8</v>
      </c>
      <c r="L28">
        <f t="shared" si="3"/>
        <v>2.2345679012345681E-8</v>
      </c>
      <c r="M28">
        <f t="shared" si="4"/>
        <v>1.4948471163415234E-4</v>
      </c>
      <c r="N28" s="3">
        <f t="shared" si="5"/>
        <v>1.4948471163415234E-2</v>
      </c>
    </row>
    <row r="31" spans="1:14" x14ac:dyDescent="0.35">
      <c r="A31" s="9" t="s">
        <v>314</v>
      </c>
    </row>
  </sheetData>
  <mergeCells count="1">
    <mergeCell ref="H1:N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5825-34C2-44FA-AAE9-357DFEDAF181}">
  <dimension ref="A1:AL102"/>
  <sheetViews>
    <sheetView zoomScale="71" workbookViewId="0">
      <pane xSplit="1" topLeftCell="B1" activePane="topRight" state="frozen"/>
      <selection pane="topRight" activeCell="D35" sqref="D35"/>
    </sheetView>
  </sheetViews>
  <sheetFormatPr defaultRowHeight="14.5" x14ac:dyDescent="0.35"/>
  <cols>
    <col min="1" max="1" width="14.6328125" customWidth="1"/>
    <col min="2" max="2" width="12.90625" customWidth="1"/>
    <col min="3" max="3" width="13" customWidth="1"/>
    <col min="4" max="4" width="14.7265625" customWidth="1"/>
    <col min="5" max="5" width="15.36328125" customWidth="1"/>
    <col min="6" max="9" width="15.453125" customWidth="1"/>
    <col min="11" max="15" width="11.1796875" customWidth="1"/>
    <col min="16" max="16" width="11.36328125" bestFit="1" customWidth="1"/>
    <col min="18" max="20" width="8.81640625" bestFit="1" customWidth="1"/>
    <col min="21" max="21" width="12.6328125" customWidth="1"/>
    <col min="22" max="23" width="11.6328125" bestFit="1" customWidth="1"/>
    <col min="24" max="24" width="13.36328125" customWidth="1"/>
    <col min="26" max="26" width="8.81640625" bestFit="1" customWidth="1"/>
    <col min="27" max="27" width="15.7265625" customWidth="1"/>
    <col min="28" max="28" width="12.54296875" customWidth="1"/>
    <col min="29" max="29" width="12.08984375" bestFit="1" customWidth="1"/>
    <col min="30" max="30" width="8.81640625" bestFit="1" customWidth="1"/>
    <col min="31" max="31" width="12.1796875" customWidth="1"/>
    <col min="33" max="33" width="8.81640625" bestFit="1" customWidth="1"/>
    <col min="34" max="34" width="14.81640625" customWidth="1"/>
    <col min="35" max="35" width="14.90625" customWidth="1"/>
    <col min="38" max="38" width="13.26953125" customWidth="1"/>
  </cols>
  <sheetData>
    <row r="1" spans="1:38" x14ac:dyDescent="0.35">
      <c r="A1" s="15" t="s">
        <v>322</v>
      </c>
      <c r="B1" s="15"/>
      <c r="C1" s="15"/>
      <c r="D1" s="15"/>
      <c r="E1" s="15"/>
      <c r="F1" s="15"/>
    </row>
    <row r="2" spans="1:38" ht="85.25" customHeight="1" x14ac:dyDescent="0.35">
      <c r="A2" s="35" t="s">
        <v>323</v>
      </c>
      <c r="B2" s="35"/>
      <c r="C2" s="35"/>
      <c r="D2" s="35"/>
      <c r="E2" s="10"/>
      <c r="F2" s="10"/>
      <c r="G2" s="10"/>
      <c r="H2" s="10"/>
      <c r="I2" s="10"/>
      <c r="J2" s="10"/>
      <c r="K2" s="10"/>
      <c r="L2" s="10"/>
      <c r="M2" s="10"/>
      <c r="N2" s="10"/>
      <c r="O2" s="10"/>
    </row>
    <row r="3" spans="1:38" ht="58" x14ac:dyDescent="0.35">
      <c r="A3" s="18" t="s">
        <v>335</v>
      </c>
      <c r="B3" s="18" t="s">
        <v>332</v>
      </c>
      <c r="C3" s="18" t="s">
        <v>336</v>
      </c>
      <c r="D3" s="18" t="s">
        <v>337</v>
      </c>
      <c r="E3" s="18" t="s">
        <v>338</v>
      </c>
      <c r="F3" s="18" t="s">
        <v>339</v>
      </c>
      <c r="G3" s="18" t="s">
        <v>333</v>
      </c>
      <c r="H3" s="20" t="s">
        <v>340</v>
      </c>
      <c r="I3" s="18"/>
      <c r="J3" s="18" t="s">
        <v>331</v>
      </c>
      <c r="K3" s="21" t="s">
        <v>344</v>
      </c>
      <c r="L3" s="21" t="s">
        <v>343</v>
      </c>
      <c r="M3" s="20" t="s">
        <v>343</v>
      </c>
      <c r="N3" s="21" t="s">
        <v>341</v>
      </c>
      <c r="O3" s="21" t="s">
        <v>342</v>
      </c>
      <c r="P3" s="20" t="s">
        <v>345</v>
      </c>
      <c r="Q3" s="18"/>
      <c r="R3" s="18" t="s">
        <v>346</v>
      </c>
      <c r="S3" s="18" t="s">
        <v>344</v>
      </c>
      <c r="T3" s="18" t="s">
        <v>343</v>
      </c>
      <c r="U3" s="20" t="s">
        <v>343</v>
      </c>
      <c r="V3" s="21" t="s">
        <v>341</v>
      </c>
      <c r="W3" s="21" t="s">
        <v>342</v>
      </c>
      <c r="X3" s="20" t="s">
        <v>347</v>
      </c>
      <c r="Y3" s="16"/>
      <c r="Z3" s="16" t="s">
        <v>353</v>
      </c>
      <c r="AA3" s="18" t="s">
        <v>349</v>
      </c>
      <c r="AB3" s="18" t="s">
        <v>350</v>
      </c>
      <c r="AC3" s="16" t="s">
        <v>354</v>
      </c>
      <c r="AD3" s="16" t="s">
        <v>342</v>
      </c>
      <c r="AE3" s="20" t="s">
        <v>355</v>
      </c>
      <c r="AG3" s="16" t="s">
        <v>348</v>
      </c>
      <c r="AH3" s="18" t="s">
        <v>349</v>
      </c>
      <c r="AI3" s="18" t="s">
        <v>350</v>
      </c>
      <c r="AJ3" s="18" t="s">
        <v>351</v>
      </c>
      <c r="AK3" s="18" t="s">
        <v>342</v>
      </c>
      <c r="AL3" s="20" t="s">
        <v>352</v>
      </c>
    </row>
    <row r="4" spans="1:38" x14ac:dyDescent="0.35">
      <c r="A4" s="33" t="s">
        <v>334</v>
      </c>
      <c r="B4" s="19">
        <v>0</v>
      </c>
      <c r="C4" s="19">
        <v>100</v>
      </c>
      <c r="D4" s="19">
        <v>0.1</v>
      </c>
      <c r="E4" s="19">
        <v>0</v>
      </c>
      <c r="F4" s="19">
        <v>0</v>
      </c>
      <c r="G4" s="19">
        <f>C4+E4</f>
        <v>100</v>
      </c>
      <c r="H4" s="19">
        <f>(D4/G4)^2</f>
        <v>9.9999999999999995E-7</v>
      </c>
      <c r="I4" s="19"/>
      <c r="J4" s="19">
        <v>533</v>
      </c>
      <c r="K4" s="19">
        <v>188</v>
      </c>
      <c r="L4" s="19">
        <v>1</v>
      </c>
      <c r="M4" s="19">
        <f>(L4/K4)^2</f>
        <v>2.8293345405160706E-5</v>
      </c>
      <c r="N4" s="19">
        <f>H4+M4</f>
        <v>2.9293345405160707E-5</v>
      </c>
      <c r="O4" s="19">
        <f>SQRT(N4)</f>
        <v>5.4123327138268862E-3</v>
      </c>
      <c r="P4" s="23">
        <f>J4*O4</f>
        <v>2.8847733364697303</v>
      </c>
      <c r="Q4" s="19"/>
      <c r="R4" s="19">
        <v>730</v>
      </c>
      <c r="S4" s="19">
        <v>140</v>
      </c>
      <c r="T4" s="19">
        <v>1</v>
      </c>
      <c r="U4" s="19">
        <f>(T4/S4)^2</f>
        <v>5.1020408163265301E-5</v>
      </c>
      <c r="V4" s="19">
        <f>H4+U4</f>
        <v>5.2020408163265298E-5</v>
      </c>
      <c r="W4" s="19">
        <f>SQRT(V4)</f>
        <v>7.2125174636367643E-3</v>
      </c>
      <c r="X4" s="23">
        <f>R4*W4</f>
        <v>5.2651377484548378</v>
      </c>
      <c r="Z4">
        <v>27.08</v>
      </c>
      <c r="AA4">
        <v>2.92933454051607E-5</v>
      </c>
      <c r="AB4">
        <v>5.4279343598486875E-5</v>
      </c>
      <c r="AC4">
        <f>AA4+AB4</f>
        <v>8.3572689003647571E-5</v>
      </c>
      <c r="AD4">
        <f>SQRT(AC4)</f>
        <v>9.1418099413435403E-3</v>
      </c>
      <c r="AE4" s="24">
        <f>AD4*Z4</f>
        <v>0.24756021321158306</v>
      </c>
      <c r="AG4">
        <v>1.37</v>
      </c>
      <c r="AH4">
        <f>(P4/J4)^2</f>
        <v>2.9293345405160707E-5</v>
      </c>
      <c r="AI4">
        <f>(X4/R4)^2</f>
        <v>5.2020408163265305E-5</v>
      </c>
      <c r="AJ4">
        <f>AH4+AI4</f>
        <v>8.1313753568426015E-5</v>
      </c>
      <c r="AK4">
        <f>SQRT(AJ4)</f>
        <v>9.0174139069040191E-3</v>
      </c>
      <c r="AL4" s="7">
        <f>AG4*AK4</f>
        <v>1.2353857052458507E-2</v>
      </c>
    </row>
    <row r="5" spans="1:38" x14ac:dyDescent="0.35">
      <c r="A5" s="33"/>
      <c r="B5" s="19">
        <v>0.5</v>
      </c>
      <c r="C5" s="19">
        <v>100</v>
      </c>
      <c r="D5" s="19">
        <v>0.1</v>
      </c>
      <c r="E5" s="19">
        <v>0.5</v>
      </c>
      <c r="F5" s="19">
        <v>0.1</v>
      </c>
      <c r="G5" s="19">
        <f>C5+E5</f>
        <v>100.5</v>
      </c>
      <c r="H5" s="22">
        <f t="shared" ref="H5:H8" si="0">(D5/G5)^2</f>
        <v>9.9007450310635896E-7</v>
      </c>
      <c r="I5" s="19"/>
      <c r="J5" s="19">
        <v>526</v>
      </c>
      <c r="K5" s="19">
        <v>190</v>
      </c>
      <c r="L5" s="19">
        <v>1</v>
      </c>
      <c r="M5" s="19">
        <f t="shared" ref="M5:M8" si="1">(L5/K5)^2</f>
        <v>2.7700831024930747E-5</v>
      </c>
      <c r="N5" s="19">
        <f>H5+M5</f>
        <v>2.8690905528037107E-5</v>
      </c>
      <c r="O5" s="19">
        <f t="shared" ref="O5:O8" si="2">SQRT(N5)</f>
        <v>5.3563892248451386E-3</v>
      </c>
      <c r="P5" s="23">
        <f>J5*O5</f>
        <v>2.8174607322685428</v>
      </c>
      <c r="Q5" s="19"/>
      <c r="R5" s="19">
        <v>735</v>
      </c>
      <c r="S5" s="19">
        <v>136</v>
      </c>
      <c r="T5" s="19">
        <v>1</v>
      </c>
      <c r="U5" s="19">
        <f t="shared" ref="U5:U8" si="3">(T5/S5)^2</f>
        <v>5.406574394463668E-5</v>
      </c>
      <c r="V5" s="19">
        <f>H5+U5</f>
        <v>5.5055818447743037E-5</v>
      </c>
      <c r="W5" s="19">
        <f t="shared" ref="W5:W8" si="4">SQRT(V5)</f>
        <v>7.4199608117390377E-3</v>
      </c>
      <c r="X5" s="23">
        <f>R5*W5</f>
        <v>5.4536711966281928</v>
      </c>
      <c r="Z5">
        <v>28.42</v>
      </c>
      <c r="AA5">
        <v>2.8690905528037104E-5</v>
      </c>
      <c r="AB5">
        <v>5.5055818447743037E-5</v>
      </c>
      <c r="AC5">
        <f t="shared" ref="AC5:AC8" si="5">AA5+AB5</f>
        <v>8.3746723975780145E-5</v>
      </c>
      <c r="AD5">
        <f t="shared" ref="AD5:AD8" si="6">SQRT(AC5)</f>
        <v>9.1513236187876195E-3</v>
      </c>
      <c r="AE5" s="24">
        <f t="shared" ref="AE5:AE8" si="7">AD5*Z5</f>
        <v>0.26008061724594417</v>
      </c>
      <c r="AG5">
        <v>1.4</v>
      </c>
      <c r="AH5">
        <f>(P5/J5)^2</f>
        <v>2.8690905528037104E-5</v>
      </c>
      <c r="AI5">
        <f t="shared" ref="AI5:AI8" si="8">(X5/R5)^2</f>
        <v>5.5055818447743037E-5</v>
      </c>
      <c r="AJ5">
        <f t="shared" ref="AJ5:AJ8" si="9">AH5+AI5</f>
        <v>8.3746723975780145E-5</v>
      </c>
      <c r="AK5">
        <f t="shared" ref="AK5:AK8" si="10">SQRT(AJ5)</f>
        <v>9.1513236187876195E-3</v>
      </c>
      <c r="AL5" s="7">
        <f t="shared" ref="AL5:AL8" si="11">AG5*AK5</f>
        <v>1.2811853066302666E-2</v>
      </c>
    </row>
    <row r="6" spans="1:38" x14ac:dyDescent="0.35">
      <c r="A6" s="33"/>
      <c r="B6" s="19">
        <v>1</v>
      </c>
      <c r="C6" s="19">
        <v>100</v>
      </c>
      <c r="D6" s="19">
        <v>0.1</v>
      </c>
      <c r="E6" s="19">
        <v>1</v>
      </c>
      <c r="F6" s="19">
        <v>0.1</v>
      </c>
      <c r="G6" s="19">
        <f>C6+E6</f>
        <v>101</v>
      </c>
      <c r="H6" s="22">
        <f t="shared" si="0"/>
        <v>9.802960494069209E-7</v>
      </c>
      <c r="I6" s="19"/>
      <c r="J6" s="19">
        <v>526</v>
      </c>
      <c r="K6" s="19">
        <v>190</v>
      </c>
      <c r="L6" s="19">
        <v>1</v>
      </c>
      <c r="M6" s="19">
        <f t="shared" si="1"/>
        <v>2.7700831024930747E-5</v>
      </c>
      <c r="N6" s="19">
        <f>H6+M6</f>
        <v>2.8681127074337667E-5</v>
      </c>
      <c r="O6" s="19">
        <f t="shared" si="2"/>
        <v>5.3554763629706801E-3</v>
      </c>
      <c r="P6" s="23">
        <f>J6*O6</f>
        <v>2.8169805669225778</v>
      </c>
      <c r="Q6" s="19"/>
      <c r="R6" s="19">
        <v>725</v>
      </c>
      <c r="S6" s="19">
        <v>138</v>
      </c>
      <c r="T6" s="19">
        <v>1</v>
      </c>
      <c r="U6" s="19">
        <f t="shared" si="3"/>
        <v>5.250997689561017E-5</v>
      </c>
      <c r="V6" s="19">
        <f>H6+U6</f>
        <v>5.349027294501709E-5</v>
      </c>
      <c r="W6" s="19">
        <f t="shared" si="4"/>
        <v>7.313704461148064E-3</v>
      </c>
      <c r="X6" s="23">
        <f>R6*W6</f>
        <v>5.3024357343323461</v>
      </c>
      <c r="Z6">
        <v>27.37</v>
      </c>
      <c r="AA6">
        <v>2.8681127074337701E-5</v>
      </c>
      <c r="AB6">
        <v>5.3490272945017084E-5</v>
      </c>
      <c r="AC6">
        <f t="shared" si="5"/>
        <v>8.2171400019354781E-5</v>
      </c>
      <c r="AD6">
        <f t="shared" si="6"/>
        <v>9.0648441806439658E-3</v>
      </c>
      <c r="AE6" s="24">
        <f t="shared" si="7"/>
        <v>0.24810478522422535</v>
      </c>
      <c r="AG6">
        <v>1.38</v>
      </c>
      <c r="AH6">
        <f>(P6/J6)^2</f>
        <v>2.8681127074337664E-5</v>
      </c>
      <c r="AI6">
        <f t="shared" si="8"/>
        <v>5.3490272945017084E-5</v>
      </c>
      <c r="AJ6">
        <f t="shared" si="9"/>
        <v>8.2171400019354741E-5</v>
      </c>
      <c r="AK6">
        <f t="shared" si="10"/>
        <v>9.0648441806439641E-3</v>
      </c>
      <c r="AL6" s="7">
        <f t="shared" si="11"/>
        <v>1.250948496928867E-2</v>
      </c>
    </row>
    <row r="7" spans="1:38" x14ac:dyDescent="0.35">
      <c r="A7" s="33"/>
      <c r="B7" s="19">
        <v>2.5</v>
      </c>
      <c r="C7" s="19">
        <v>100</v>
      </c>
      <c r="D7" s="19">
        <v>0.1</v>
      </c>
      <c r="E7" s="19">
        <v>2.5</v>
      </c>
      <c r="F7" s="19">
        <v>0.1</v>
      </c>
      <c r="G7" s="19">
        <f>C7+E7</f>
        <v>102.5</v>
      </c>
      <c r="H7" s="22">
        <f t="shared" si="0"/>
        <v>9.5181439619274262E-7</v>
      </c>
      <c r="I7" s="19"/>
      <c r="J7" s="19">
        <v>521</v>
      </c>
      <c r="K7" s="19">
        <v>192</v>
      </c>
      <c r="L7" s="19">
        <v>1</v>
      </c>
      <c r="M7" s="19">
        <f t="shared" si="1"/>
        <v>2.712673611111111E-5</v>
      </c>
      <c r="N7" s="19">
        <f>H7+M7</f>
        <v>2.8078550507303854E-5</v>
      </c>
      <c r="O7" s="19">
        <f>SQRT(N7)</f>
        <v>5.2989197490907382E-3</v>
      </c>
      <c r="P7" s="23">
        <f>J7*O7</f>
        <v>2.7607371892762744</v>
      </c>
      <c r="Q7" s="19"/>
      <c r="R7" s="19">
        <v>694</v>
      </c>
      <c r="S7" s="19">
        <v>144</v>
      </c>
      <c r="T7" s="19">
        <v>1</v>
      </c>
      <c r="U7" s="19">
        <f t="shared" si="3"/>
        <v>4.8225308641975306E-5</v>
      </c>
      <c r="V7" s="19">
        <f>H7+U7</f>
        <v>4.9177123038168047E-5</v>
      </c>
      <c r="W7" s="19">
        <f>SQRT(V7)</f>
        <v>7.0126402330483234E-3</v>
      </c>
      <c r="X7" s="23">
        <f>R7*W7</f>
        <v>4.8667723217355361</v>
      </c>
      <c r="Z7">
        <v>25</v>
      </c>
      <c r="AA7">
        <v>2.8078550507303854E-5</v>
      </c>
      <c r="AB7">
        <v>4.9177123038168033E-5</v>
      </c>
      <c r="AC7">
        <f t="shared" si="5"/>
        <v>7.7255673545471883E-5</v>
      </c>
      <c r="AD7">
        <f t="shared" si="6"/>
        <v>8.7895206664227073E-3</v>
      </c>
      <c r="AE7" s="24">
        <f t="shared" si="7"/>
        <v>0.21973801666056769</v>
      </c>
      <c r="AG7">
        <v>1.33</v>
      </c>
      <c r="AH7">
        <f>(P7/J7)^2</f>
        <v>2.8078550507303854E-5</v>
      </c>
      <c r="AI7">
        <f t="shared" si="8"/>
        <v>4.9177123038168033E-5</v>
      </c>
      <c r="AJ7">
        <f t="shared" si="9"/>
        <v>7.7255673545471883E-5</v>
      </c>
      <c r="AK7">
        <f t="shared" si="10"/>
        <v>8.7895206664227073E-3</v>
      </c>
      <c r="AL7" s="7">
        <f t="shared" si="11"/>
        <v>1.1690062486342202E-2</v>
      </c>
    </row>
    <row r="8" spans="1:38" x14ac:dyDescent="0.35">
      <c r="A8" s="33"/>
      <c r="B8" s="19">
        <v>5</v>
      </c>
      <c r="C8" s="19">
        <v>100</v>
      </c>
      <c r="D8" s="19">
        <v>0.1</v>
      </c>
      <c r="E8" s="19">
        <v>5</v>
      </c>
      <c r="F8" s="19">
        <v>0.1</v>
      </c>
      <c r="G8" s="19">
        <f>C8+E8</f>
        <v>105</v>
      </c>
      <c r="H8" s="22">
        <f t="shared" si="0"/>
        <v>9.0702947845804985E-7</v>
      </c>
      <c r="I8" s="19"/>
      <c r="J8" s="19">
        <v>526</v>
      </c>
      <c r="K8" s="19">
        <v>190</v>
      </c>
      <c r="L8" s="19">
        <v>1</v>
      </c>
      <c r="M8" s="19">
        <f t="shared" si="1"/>
        <v>2.7700831024930747E-5</v>
      </c>
      <c r="N8" s="19">
        <f>H8+M8</f>
        <v>2.8607860503388795E-5</v>
      </c>
      <c r="O8" s="19">
        <f t="shared" si="2"/>
        <v>5.3486316477570966E-3</v>
      </c>
      <c r="P8" s="23">
        <f>J8*O8</f>
        <v>2.8133802467202327</v>
      </c>
      <c r="Q8" s="19"/>
      <c r="R8" s="19">
        <v>709</v>
      </c>
      <c r="S8" s="19">
        <v>141</v>
      </c>
      <c r="T8" s="19">
        <v>1</v>
      </c>
      <c r="U8" s="19">
        <f t="shared" si="3"/>
        <v>5.0299280720285695E-5</v>
      </c>
      <c r="V8" s="19">
        <f>H8+U8</f>
        <v>5.1206310198743744E-5</v>
      </c>
      <c r="W8" s="19">
        <f t="shared" si="4"/>
        <v>7.1558584529561329E-3</v>
      </c>
      <c r="X8" s="23">
        <f>R8*W8</f>
        <v>5.073503643145898</v>
      </c>
      <c r="Z8">
        <v>25.79</v>
      </c>
      <c r="AA8">
        <v>2.8607860503388795E-5</v>
      </c>
      <c r="AB8">
        <v>5.1206310198743737E-5</v>
      </c>
      <c r="AC8">
        <f t="shared" si="5"/>
        <v>7.9814170702132529E-5</v>
      </c>
      <c r="AD8">
        <f t="shared" si="6"/>
        <v>8.9338776968420908E-3</v>
      </c>
      <c r="AE8" s="24">
        <f t="shared" si="7"/>
        <v>0.2304047058015575</v>
      </c>
      <c r="AG8">
        <v>1.35</v>
      </c>
      <c r="AH8">
        <f>(P8/J8)^2</f>
        <v>2.8607860503388795E-5</v>
      </c>
      <c r="AI8">
        <f t="shared" si="8"/>
        <v>5.1206310198743737E-5</v>
      </c>
      <c r="AJ8">
        <f t="shared" si="9"/>
        <v>7.9814170702132529E-5</v>
      </c>
      <c r="AK8">
        <f t="shared" si="10"/>
        <v>8.9338776968420908E-3</v>
      </c>
      <c r="AL8" s="7">
        <f t="shared" si="11"/>
        <v>1.2060734890736823E-2</v>
      </c>
    </row>
    <row r="9" spans="1:38" x14ac:dyDescent="0.35">
      <c r="M9" s="19"/>
      <c r="N9" s="19"/>
      <c r="O9" s="19"/>
      <c r="P9" s="23"/>
      <c r="U9" s="19"/>
      <c r="V9" s="19"/>
      <c r="W9" s="19"/>
      <c r="X9" s="23"/>
      <c r="AE9" s="24"/>
      <c r="AL9" s="7"/>
    </row>
    <row r="10" spans="1:38" x14ac:dyDescent="0.35">
      <c r="A10" s="33" t="s">
        <v>324</v>
      </c>
      <c r="B10" s="19">
        <v>0</v>
      </c>
      <c r="C10" s="19">
        <v>100</v>
      </c>
      <c r="D10" s="19">
        <v>0.1</v>
      </c>
      <c r="E10" s="19">
        <v>0</v>
      </c>
      <c r="F10" s="19">
        <v>0</v>
      </c>
      <c r="G10" s="19">
        <f>C10+E10</f>
        <v>100</v>
      </c>
      <c r="H10" s="19">
        <f>(D10/G10)^2</f>
        <v>9.9999999999999995E-7</v>
      </c>
      <c r="J10" s="19">
        <v>1310</v>
      </c>
      <c r="K10">
        <v>77</v>
      </c>
      <c r="L10" s="19">
        <v>1</v>
      </c>
      <c r="M10" s="19">
        <f t="shared" ref="M10:M14" si="12">(L10/K10)^2</f>
        <v>1.6866250632484401E-4</v>
      </c>
      <c r="N10" s="19">
        <f t="shared" ref="N10:N14" si="13">H10+M10</f>
        <v>1.6966250632484401E-4</v>
      </c>
      <c r="O10" s="19">
        <f t="shared" ref="O10:O14" si="14">SQRT(N10)</f>
        <v>1.3025456088937692E-2</v>
      </c>
      <c r="P10" s="23">
        <f t="shared" ref="P10:P14" si="15">J10*O10</f>
        <v>17.063347476508376</v>
      </c>
      <c r="R10" s="19">
        <v>1420</v>
      </c>
      <c r="S10">
        <v>71</v>
      </c>
      <c r="T10" s="19">
        <v>1</v>
      </c>
      <c r="U10" s="19">
        <f t="shared" ref="U10:U14" si="16">(T10/S10)^2</f>
        <v>1.9837333862328903E-4</v>
      </c>
      <c r="V10" s="19">
        <f t="shared" ref="V10:V14" si="17">H10+U10</f>
        <v>1.9937333862328903E-4</v>
      </c>
      <c r="W10" s="19">
        <f t="shared" ref="W10:W14" si="18">SQRT(V10)</f>
        <v>1.4119962415788827E-2</v>
      </c>
      <c r="X10" s="23">
        <f t="shared" ref="X10:X14" si="19">R10*W10</f>
        <v>20.050346630420133</v>
      </c>
      <c r="Z10">
        <v>7.73</v>
      </c>
      <c r="AA10">
        <f>(P10/J10)^2</f>
        <v>1.6966250632484398E-4</v>
      </c>
      <c r="AB10">
        <f>(X10/R10)^2</f>
        <v>1.9937333862328905E-4</v>
      </c>
      <c r="AC10">
        <f t="shared" ref="AC10:AC14" si="20">AA10+AB10</f>
        <v>3.6903584494813303E-4</v>
      </c>
      <c r="AD10">
        <f t="shared" ref="AD10:AD14" si="21">SQRT(AC10)</f>
        <v>1.9210305696373834E-2</v>
      </c>
      <c r="AE10" s="24">
        <f t="shared" ref="AE10:AE14" si="22">AD10*Z10</f>
        <v>0.14849566303296974</v>
      </c>
      <c r="AG10">
        <v>1.2</v>
      </c>
      <c r="AH10">
        <f>(P10/J10)^2</f>
        <v>1.6966250632484398E-4</v>
      </c>
      <c r="AI10">
        <f t="shared" ref="AI10:AI14" si="23">(X10/R10)^2</f>
        <v>1.9937333862328905E-4</v>
      </c>
      <c r="AJ10">
        <f t="shared" ref="AJ10:AJ14" si="24">AH10+AI10</f>
        <v>3.6903584494813303E-4</v>
      </c>
      <c r="AK10">
        <f t="shared" ref="AK10:AK14" si="25">SQRT(AJ10)</f>
        <v>1.9210305696373834E-2</v>
      </c>
      <c r="AL10" s="7">
        <f t="shared" ref="AL10:AL14" si="26">AG10*AK10</f>
        <v>2.30523668356486E-2</v>
      </c>
    </row>
    <row r="11" spans="1:38" x14ac:dyDescent="0.35">
      <c r="A11" s="33"/>
      <c r="B11" s="19">
        <v>0.5</v>
      </c>
      <c r="C11" s="19">
        <v>100</v>
      </c>
      <c r="D11" s="19">
        <v>0.1</v>
      </c>
      <c r="E11" s="19">
        <v>0.5</v>
      </c>
      <c r="F11" s="19">
        <v>0.1</v>
      </c>
      <c r="G11" s="19">
        <f>C11+E11</f>
        <v>100.5</v>
      </c>
      <c r="H11" s="22">
        <f t="shared" ref="H11:H14" si="27">(D11/G11)^2</f>
        <v>9.9007450310635896E-7</v>
      </c>
      <c r="J11" s="19">
        <v>862</v>
      </c>
      <c r="K11">
        <v>116</v>
      </c>
      <c r="L11" s="19">
        <v>1</v>
      </c>
      <c r="M11" s="19">
        <f t="shared" si="12"/>
        <v>7.4316290130796664E-5</v>
      </c>
      <c r="N11" s="19">
        <f t="shared" si="13"/>
        <v>7.5306364633903028E-5</v>
      </c>
      <c r="O11" s="19">
        <f t="shared" si="14"/>
        <v>8.677923981800199E-3</v>
      </c>
      <c r="P11" s="23">
        <f t="shared" si="15"/>
        <v>7.4803704723117717</v>
      </c>
      <c r="R11" s="19">
        <v>1087</v>
      </c>
      <c r="S11">
        <v>92</v>
      </c>
      <c r="T11" s="19">
        <v>1</v>
      </c>
      <c r="U11" s="19">
        <f t="shared" si="16"/>
        <v>1.1814744801512286E-4</v>
      </c>
      <c r="V11" s="19">
        <f t="shared" si="17"/>
        <v>1.1913752251822923E-4</v>
      </c>
      <c r="W11" s="19">
        <f t="shared" si="18"/>
        <v>1.091501362886136E-2</v>
      </c>
      <c r="X11" s="23">
        <f t="shared" si="19"/>
        <v>11.864619814572299</v>
      </c>
      <c r="Z11">
        <v>20.69</v>
      </c>
      <c r="AA11">
        <f t="shared" ref="AA11:AA74" si="28">(P11/J11)^2</f>
        <v>7.5306364633903014E-5</v>
      </c>
      <c r="AB11">
        <f t="shared" ref="AB11:AB74" si="29">(X11/R11)^2</f>
        <v>1.1913752251822924E-4</v>
      </c>
      <c r="AC11">
        <f t="shared" si="20"/>
        <v>1.9444388715213226E-4</v>
      </c>
      <c r="AD11">
        <f t="shared" si="21"/>
        <v>1.3944313792802148E-2</v>
      </c>
      <c r="AE11" s="24">
        <f t="shared" si="22"/>
        <v>0.28850785237307647</v>
      </c>
      <c r="AG11">
        <v>1.26</v>
      </c>
      <c r="AH11">
        <f t="shared" ref="AH11:AH14" si="30">(P11/J11)^2</f>
        <v>7.5306364633903014E-5</v>
      </c>
      <c r="AI11">
        <f t="shared" si="23"/>
        <v>1.1913752251822924E-4</v>
      </c>
      <c r="AJ11">
        <f t="shared" si="24"/>
        <v>1.9444388715213226E-4</v>
      </c>
      <c r="AK11">
        <f t="shared" si="25"/>
        <v>1.3944313792802148E-2</v>
      </c>
      <c r="AL11" s="7">
        <f t="shared" si="26"/>
        <v>1.7569835378930709E-2</v>
      </c>
    </row>
    <row r="12" spans="1:38" x14ac:dyDescent="0.35">
      <c r="A12" s="33"/>
      <c r="B12" s="19">
        <v>1</v>
      </c>
      <c r="C12" s="19">
        <v>100</v>
      </c>
      <c r="D12" s="19">
        <v>0.1</v>
      </c>
      <c r="E12" s="19">
        <v>1</v>
      </c>
      <c r="F12" s="19">
        <v>0.1</v>
      </c>
      <c r="G12" s="19">
        <f>C12+E12</f>
        <v>101</v>
      </c>
      <c r="H12" s="22">
        <f t="shared" si="27"/>
        <v>9.802960494069209E-7</v>
      </c>
      <c r="J12" s="19">
        <v>758</v>
      </c>
      <c r="K12">
        <v>132</v>
      </c>
      <c r="L12" s="19">
        <v>1</v>
      </c>
      <c r="M12" s="19">
        <f t="shared" si="12"/>
        <v>5.7392102846648307E-5</v>
      </c>
      <c r="N12" s="19">
        <f t="shared" si="13"/>
        <v>5.8372398896055228E-5</v>
      </c>
      <c r="O12" s="19">
        <f t="shared" si="14"/>
        <v>7.6401831716298024E-3</v>
      </c>
      <c r="P12" s="23">
        <f t="shared" si="15"/>
        <v>5.79125884409539</v>
      </c>
      <c r="R12" s="19">
        <v>1020</v>
      </c>
      <c r="S12">
        <v>98</v>
      </c>
      <c r="T12" s="19">
        <v>1</v>
      </c>
      <c r="U12" s="19">
        <f t="shared" si="16"/>
        <v>1.0412328196584754E-4</v>
      </c>
      <c r="V12" s="19">
        <f t="shared" si="17"/>
        <v>1.0510357801525446E-4</v>
      </c>
      <c r="W12" s="19">
        <f t="shared" si="18"/>
        <v>1.0252003609795233E-2</v>
      </c>
      <c r="X12" s="23">
        <f t="shared" si="19"/>
        <v>10.457043681991138</v>
      </c>
      <c r="Z12">
        <v>25.76</v>
      </c>
      <c r="AA12">
        <f t="shared" si="28"/>
        <v>5.8372398896055228E-5</v>
      </c>
      <c r="AB12">
        <f t="shared" si="29"/>
        <v>1.0510357801525447E-4</v>
      </c>
      <c r="AC12">
        <f t="shared" si="20"/>
        <v>1.6347597691130972E-4</v>
      </c>
      <c r="AD12">
        <f t="shared" si="21"/>
        <v>1.2785772440932527E-2</v>
      </c>
      <c r="AE12" s="24">
        <f t="shared" si="22"/>
        <v>0.32936149807842191</v>
      </c>
      <c r="AG12">
        <v>1.35</v>
      </c>
      <c r="AH12">
        <f t="shared" si="30"/>
        <v>5.8372398896055228E-5</v>
      </c>
      <c r="AI12">
        <f t="shared" si="23"/>
        <v>1.0510357801525447E-4</v>
      </c>
      <c r="AJ12">
        <f t="shared" si="24"/>
        <v>1.6347597691130972E-4</v>
      </c>
      <c r="AK12">
        <f t="shared" si="25"/>
        <v>1.2785772440932527E-2</v>
      </c>
      <c r="AL12" s="7">
        <f t="shared" si="26"/>
        <v>1.7260792795258915E-2</v>
      </c>
    </row>
    <row r="13" spans="1:38" x14ac:dyDescent="0.35">
      <c r="A13" s="33"/>
      <c r="B13" s="19">
        <v>2.5</v>
      </c>
      <c r="C13" s="19">
        <v>100</v>
      </c>
      <c r="D13" s="19">
        <v>0.1</v>
      </c>
      <c r="E13" s="19">
        <v>2.5</v>
      </c>
      <c r="F13" s="19">
        <v>0.1</v>
      </c>
      <c r="G13" s="19">
        <f>C13+E13</f>
        <v>102.5</v>
      </c>
      <c r="H13" s="22">
        <f t="shared" si="27"/>
        <v>9.5181439619274262E-7</v>
      </c>
      <c r="J13" s="19">
        <v>746</v>
      </c>
      <c r="K13">
        <v>134</v>
      </c>
      <c r="L13" s="19">
        <v>1</v>
      </c>
      <c r="M13" s="19">
        <f t="shared" si="12"/>
        <v>5.5691690799732676E-5</v>
      </c>
      <c r="N13" s="19">
        <f t="shared" si="13"/>
        <v>5.6643505195925417E-5</v>
      </c>
      <c r="O13" s="19">
        <f t="shared" si="14"/>
        <v>7.5261879591148545E-3</v>
      </c>
      <c r="P13" s="23">
        <f t="shared" si="15"/>
        <v>5.6145362174996816</v>
      </c>
      <c r="R13" s="19">
        <v>1064</v>
      </c>
      <c r="S13">
        <v>94</v>
      </c>
      <c r="T13" s="19">
        <v>1</v>
      </c>
      <c r="U13" s="19">
        <f t="shared" si="16"/>
        <v>1.1317338162064282E-4</v>
      </c>
      <c r="V13" s="19">
        <f t="shared" si="17"/>
        <v>1.1412519601683557E-4</v>
      </c>
      <c r="W13" s="19">
        <f t="shared" si="18"/>
        <v>1.0682939483907769E-2</v>
      </c>
      <c r="X13" s="23">
        <f t="shared" si="19"/>
        <v>11.366647610877866</v>
      </c>
      <c r="Z13">
        <v>29.9</v>
      </c>
      <c r="AA13">
        <f t="shared" si="28"/>
        <v>5.6643505195925417E-5</v>
      </c>
      <c r="AB13">
        <f t="shared" si="29"/>
        <v>1.1412519601683558E-4</v>
      </c>
      <c r="AC13">
        <f t="shared" si="20"/>
        <v>1.7076870121276099E-4</v>
      </c>
      <c r="AD13">
        <f t="shared" si="21"/>
        <v>1.3067849907798948E-2</v>
      </c>
      <c r="AE13" s="24">
        <f t="shared" si="22"/>
        <v>0.39072871224318856</v>
      </c>
      <c r="AG13">
        <v>1.43</v>
      </c>
      <c r="AH13">
        <f t="shared" si="30"/>
        <v>5.6643505195925417E-5</v>
      </c>
      <c r="AI13">
        <f t="shared" si="23"/>
        <v>1.1412519601683558E-4</v>
      </c>
      <c r="AJ13">
        <f t="shared" si="24"/>
        <v>1.7076870121276099E-4</v>
      </c>
      <c r="AK13">
        <f t="shared" si="25"/>
        <v>1.3067849907798948E-2</v>
      </c>
      <c r="AL13" s="7">
        <f t="shared" si="26"/>
        <v>1.8687025368152494E-2</v>
      </c>
    </row>
    <row r="14" spans="1:38" x14ac:dyDescent="0.35">
      <c r="A14" s="33"/>
      <c r="B14" s="19">
        <v>5</v>
      </c>
      <c r="C14" s="19">
        <v>100</v>
      </c>
      <c r="D14" s="19">
        <v>0.1</v>
      </c>
      <c r="E14" s="19">
        <v>5</v>
      </c>
      <c r="F14" s="19">
        <v>0.1</v>
      </c>
      <c r="G14" s="19">
        <f>C14+E14</f>
        <v>105</v>
      </c>
      <c r="H14" s="22">
        <f t="shared" si="27"/>
        <v>9.0702947845804985E-7</v>
      </c>
      <c r="J14" s="19">
        <v>725</v>
      </c>
      <c r="K14">
        <v>138</v>
      </c>
      <c r="L14" s="19">
        <v>1</v>
      </c>
      <c r="M14" s="19">
        <f t="shared" si="12"/>
        <v>5.250997689561017E-5</v>
      </c>
      <c r="N14" s="19">
        <f t="shared" si="13"/>
        <v>5.3417006374068218E-5</v>
      </c>
      <c r="O14" s="19">
        <f t="shared" si="14"/>
        <v>7.3086938897499471E-3</v>
      </c>
      <c r="P14" s="23">
        <f t="shared" si="15"/>
        <v>5.2988030700687121</v>
      </c>
      <c r="R14" s="19">
        <v>1042</v>
      </c>
      <c r="S14">
        <v>96</v>
      </c>
      <c r="T14" s="19">
        <v>1</v>
      </c>
      <c r="U14" s="19">
        <f t="shared" si="16"/>
        <v>1.0850694444444444E-4</v>
      </c>
      <c r="V14" s="19">
        <f t="shared" si="17"/>
        <v>1.0941397392290249E-4</v>
      </c>
      <c r="W14" s="19">
        <f t="shared" si="18"/>
        <v>1.0460113475622647E-2</v>
      </c>
      <c r="X14" s="23">
        <f t="shared" si="19"/>
        <v>10.899438241598798</v>
      </c>
      <c r="Z14">
        <v>30.43</v>
      </c>
      <c r="AA14">
        <f t="shared" si="28"/>
        <v>5.3417006374068225E-5</v>
      </c>
      <c r="AB14">
        <f t="shared" si="29"/>
        <v>1.0941397392290249E-4</v>
      </c>
      <c r="AC14">
        <f t="shared" si="20"/>
        <v>1.6283098029697073E-4</v>
      </c>
      <c r="AD14">
        <f t="shared" si="21"/>
        <v>1.2760524295536244E-2</v>
      </c>
      <c r="AE14" s="24">
        <f t="shared" si="22"/>
        <v>0.38830275431316791</v>
      </c>
      <c r="AG14">
        <v>1.44</v>
      </c>
      <c r="AH14">
        <f t="shared" si="30"/>
        <v>5.3417006374068225E-5</v>
      </c>
      <c r="AI14">
        <f t="shared" si="23"/>
        <v>1.0941397392290249E-4</v>
      </c>
      <c r="AJ14">
        <f t="shared" si="24"/>
        <v>1.6283098029697073E-4</v>
      </c>
      <c r="AK14">
        <f t="shared" si="25"/>
        <v>1.2760524295536244E-2</v>
      </c>
      <c r="AL14" s="7">
        <f t="shared" si="26"/>
        <v>1.8375154985572191E-2</v>
      </c>
    </row>
    <row r="16" spans="1:38" x14ac:dyDescent="0.35">
      <c r="A16" s="32" t="s">
        <v>5</v>
      </c>
      <c r="B16">
        <v>0</v>
      </c>
      <c r="C16">
        <v>100</v>
      </c>
      <c r="D16">
        <v>0.1</v>
      </c>
      <c r="E16">
        <v>0</v>
      </c>
      <c r="F16">
        <v>0</v>
      </c>
      <c r="G16">
        <f>C16+E16</f>
        <v>100</v>
      </c>
      <c r="H16">
        <f>(D16/G16)^2</f>
        <v>9.9999999999999995E-7</v>
      </c>
      <c r="J16" s="25">
        <v>1115</v>
      </c>
      <c r="K16">
        <v>90</v>
      </c>
      <c r="L16">
        <v>1</v>
      </c>
      <c r="M16">
        <f t="shared" ref="M16:M20" si="31">(L16/K16)^2</f>
        <v>1.2345679012345679E-4</v>
      </c>
      <c r="N16">
        <f t="shared" ref="N16:N20" si="32">H16+M16</f>
        <v>1.2445679012345679E-4</v>
      </c>
      <c r="O16">
        <f t="shared" ref="O16:O20" si="33">SQRT(N16)</f>
        <v>1.1156020353309544E-2</v>
      </c>
      <c r="P16">
        <f t="shared" ref="P16:P20" si="34">J16*O16</f>
        <v>12.438962693940141</v>
      </c>
      <c r="Q16" s="8"/>
      <c r="R16" s="8">
        <v>1485</v>
      </c>
      <c r="S16">
        <v>67</v>
      </c>
      <c r="T16">
        <v>1</v>
      </c>
      <c r="U16">
        <f t="shared" ref="U16:U20" si="35">(T16/S16)^2</f>
        <v>2.227667631989307E-4</v>
      </c>
      <c r="V16">
        <f t="shared" ref="V16:V20" si="36">H16+U16</f>
        <v>2.237667631989307E-4</v>
      </c>
      <c r="W16">
        <f t="shared" ref="W16:W20" si="37">SQRT(V16)</f>
        <v>1.4958835623100172E-2</v>
      </c>
      <c r="X16">
        <f t="shared" ref="X16:X20" si="38">R16*W16</f>
        <v>22.213870900303757</v>
      </c>
      <c r="Z16">
        <v>24.9</v>
      </c>
      <c r="AA16">
        <f t="shared" si="28"/>
        <v>1.2445679012345679E-4</v>
      </c>
      <c r="AB16">
        <f t="shared" si="29"/>
        <v>2.2376676319893073E-4</v>
      </c>
      <c r="AC16">
        <f t="shared" ref="AC16:AC20" si="39">AA16+AB16</f>
        <v>3.4822355332238752E-4</v>
      </c>
      <c r="AD16">
        <f t="shared" ref="AD16:AD20" si="40">SQRT(AC16)</f>
        <v>1.8660749002180687E-2</v>
      </c>
      <c r="AE16">
        <f t="shared" ref="AE16:AE20" si="41">AD16*Z16</f>
        <v>0.46465265015429907</v>
      </c>
      <c r="AG16">
        <v>1.33</v>
      </c>
      <c r="AH16">
        <f t="shared" ref="AH16:AH20" si="42">(P16/J16)^2</f>
        <v>1.2445679012345679E-4</v>
      </c>
      <c r="AI16">
        <f t="shared" ref="AI16:AI20" si="43">(X16/R16)^2</f>
        <v>2.2376676319893073E-4</v>
      </c>
      <c r="AJ16">
        <f t="shared" ref="AJ16:AJ20" si="44">AH16+AI16</f>
        <v>3.4822355332238752E-4</v>
      </c>
      <c r="AK16">
        <f t="shared" ref="AK16:AK20" si="45">SQRT(AJ16)</f>
        <v>1.8660749002180687E-2</v>
      </c>
      <c r="AL16">
        <f t="shared" ref="AL16:AL20" si="46">AG16*AK16</f>
        <v>2.4818796172900316E-2</v>
      </c>
    </row>
    <row r="17" spans="1:38" x14ac:dyDescent="0.35">
      <c r="A17" s="32"/>
      <c r="B17">
        <v>0.5</v>
      </c>
      <c r="C17">
        <v>100</v>
      </c>
      <c r="D17">
        <v>0.1</v>
      </c>
      <c r="E17">
        <v>0.5</v>
      </c>
      <c r="F17">
        <v>0.1</v>
      </c>
      <c r="G17">
        <f>C17+E17</f>
        <v>100.5</v>
      </c>
      <c r="H17">
        <f t="shared" ref="H17:H20" si="47">(D17/G17)^2</f>
        <v>9.9007450310635896E-7</v>
      </c>
      <c r="J17" s="26">
        <v>1014</v>
      </c>
      <c r="K17">
        <v>99</v>
      </c>
      <c r="L17">
        <v>1</v>
      </c>
      <c r="M17">
        <f t="shared" si="31"/>
        <v>1.020304050607081E-4</v>
      </c>
      <c r="N17">
        <f t="shared" si="32"/>
        <v>1.0302047956381447E-4</v>
      </c>
      <c r="O17">
        <f t="shared" si="33"/>
        <v>1.0149900470635881E-2</v>
      </c>
      <c r="P17">
        <f t="shared" si="34"/>
        <v>10.291999077224784</v>
      </c>
      <c r="Q17" s="17"/>
      <c r="R17" s="27">
        <v>1346</v>
      </c>
      <c r="S17">
        <v>74</v>
      </c>
      <c r="T17">
        <v>1</v>
      </c>
      <c r="U17">
        <f t="shared" si="35"/>
        <v>1.8261504747991238E-4</v>
      </c>
      <c r="V17">
        <f t="shared" si="36"/>
        <v>1.8360512198301873E-4</v>
      </c>
      <c r="W17">
        <f t="shared" si="37"/>
        <v>1.3550096751795492E-2</v>
      </c>
      <c r="X17">
        <f t="shared" si="38"/>
        <v>18.23843022791673</v>
      </c>
      <c r="Z17">
        <v>24.67</v>
      </c>
      <c r="AA17">
        <f t="shared" si="28"/>
        <v>1.0302047956381448E-4</v>
      </c>
      <c r="AB17">
        <f t="shared" si="29"/>
        <v>1.8360512198301867E-4</v>
      </c>
      <c r="AC17">
        <f t="shared" si="39"/>
        <v>2.8662560154683317E-4</v>
      </c>
      <c r="AD17">
        <f t="shared" si="40"/>
        <v>1.6930020719031422E-2</v>
      </c>
      <c r="AE17">
        <f t="shared" si="41"/>
        <v>0.4176636111385052</v>
      </c>
      <c r="AG17">
        <v>1.33</v>
      </c>
      <c r="AH17">
        <f t="shared" si="42"/>
        <v>1.0302047956381448E-4</v>
      </c>
      <c r="AI17">
        <f t="shared" si="43"/>
        <v>1.8360512198301867E-4</v>
      </c>
      <c r="AJ17">
        <f t="shared" si="44"/>
        <v>2.8662560154683317E-4</v>
      </c>
      <c r="AK17">
        <f t="shared" si="45"/>
        <v>1.6930020719031422E-2</v>
      </c>
      <c r="AL17">
        <f t="shared" si="46"/>
        <v>2.2516927556311791E-2</v>
      </c>
    </row>
    <row r="18" spans="1:38" x14ac:dyDescent="0.35">
      <c r="A18" s="32"/>
      <c r="B18">
        <v>1</v>
      </c>
      <c r="C18">
        <v>100</v>
      </c>
      <c r="D18">
        <v>0.1</v>
      </c>
      <c r="E18">
        <v>1</v>
      </c>
      <c r="F18">
        <v>0.1</v>
      </c>
      <c r="G18">
        <f>C18+E18</f>
        <v>101</v>
      </c>
      <c r="H18">
        <f t="shared" si="47"/>
        <v>9.802960494069209E-7</v>
      </c>
      <c r="J18" s="25">
        <v>1042</v>
      </c>
      <c r="K18">
        <v>96</v>
      </c>
      <c r="L18">
        <v>1</v>
      </c>
      <c r="M18">
        <f t="shared" si="31"/>
        <v>1.0850694444444444E-4</v>
      </c>
      <c r="N18">
        <f t="shared" si="32"/>
        <v>1.0948724049385136E-4</v>
      </c>
      <c r="O18">
        <f t="shared" si="33"/>
        <v>1.0463615077679959E-2</v>
      </c>
      <c r="P18">
        <f t="shared" si="34"/>
        <v>10.903086910942516</v>
      </c>
      <c r="Q18" s="8"/>
      <c r="R18" s="8">
        <v>1327</v>
      </c>
      <c r="S18">
        <v>75</v>
      </c>
      <c r="T18">
        <v>1</v>
      </c>
      <c r="U18">
        <f t="shared" si="35"/>
        <v>1.7777777777777781E-4</v>
      </c>
      <c r="V18">
        <f t="shared" si="36"/>
        <v>1.7875807382718473E-4</v>
      </c>
      <c r="W18">
        <f t="shared" si="37"/>
        <v>1.3370043897728412E-2</v>
      </c>
      <c r="X18">
        <f t="shared" si="38"/>
        <v>17.742048252285603</v>
      </c>
      <c r="Z18">
        <v>21.42</v>
      </c>
      <c r="AA18">
        <f t="shared" si="28"/>
        <v>1.0948724049385137E-4</v>
      </c>
      <c r="AB18">
        <f t="shared" si="29"/>
        <v>1.7875807382718476E-4</v>
      </c>
      <c r="AC18">
        <f t="shared" si="39"/>
        <v>2.8824531432103612E-4</v>
      </c>
      <c r="AD18">
        <f t="shared" si="40"/>
        <v>1.6977788852528358E-2</v>
      </c>
      <c r="AE18">
        <f t="shared" si="41"/>
        <v>0.36366423722115743</v>
      </c>
      <c r="AG18">
        <v>1.27</v>
      </c>
      <c r="AH18">
        <f t="shared" si="42"/>
        <v>1.0948724049385137E-4</v>
      </c>
      <c r="AI18">
        <f t="shared" si="43"/>
        <v>1.7875807382718476E-4</v>
      </c>
      <c r="AJ18">
        <f t="shared" si="44"/>
        <v>2.8824531432103612E-4</v>
      </c>
      <c r="AK18">
        <f t="shared" si="45"/>
        <v>1.6977788852528358E-2</v>
      </c>
      <c r="AL18">
        <f t="shared" si="46"/>
        <v>2.1561791842711016E-2</v>
      </c>
    </row>
    <row r="19" spans="1:38" x14ac:dyDescent="0.35">
      <c r="A19" s="32"/>
      <c r="B19">
        <v>2.5</v>
      </c>
      <c r="C19">
        <v>100</v>
      </c>
      <c r="D19">
        <v>0.1</v>
      </c>
      <c r="E19">
        <v>2.5</v>
      </c>
      <c r="F19">
        <v>0.1</v>
      </c>
      <c r="G19">
        <f>C19+E19</f>
        <v>102.5</v>
      </c>
      <c r="H19">
        <f t="shared" si="47"/>
        <v>9.5181439619274262E-7</v>
      </c>
      <c r="I19" s="8"/>
      <c r="J19" s="25">
        <v>748</v>
      </c>
      <c r="K19">
        <v>134</v>
      </c>
      <c r="L19">
        <v>1</v>
      </c>
      <c r="M19">
        <f t="shared" si="31"/>
        <v>5.5691690799732676E-5</v>
      </c>
      <c r="N19">
        <f t="shared" si="32"/>
        <v>5.6643505195925417E-5</v>
      </c>
      <c r="O19">
        <f t="shared" si="33"/>
        <v>7.5261879591148545E-3</v>
      </c>
      <c r="P19">
        <f t="shared" si="34"/>
        <v>5.6295885934179113</v>
      </c>
      <c r="Q19" s="8"/>
      <c r="R19" s="8">
        <v>1103</v>
      </c>
      <c r="S19">
        <v>91</v>
      </c>
      <c r="T19">
        <v>1</v>
      </c>
      <c r="U19">
        <f t="shared" si="35"/>
        <v>1.207583625166043E-4</v>
      </c>
      <c r="V19">
        <f t="shared" si="36"/>
        <v>1.2171017691279705E-4</v>
      </c>
      <c r="W19">
        <f t="shared" si="37"/>
        <v>1.1032233541436523E-2</v>
      </c>
      <c r="X19">
        <f t="shared" si="38"/>
        <v>12.168553596204484</v>
      </c>
      <c r="Z19">
        <v>32.200000000000003</v>
      </c>
      <c r="AA19">
        <f t="shared" si="28"/>
        <v>5.6643505195925417E-5</v>
      </c>
      <c r="AB19">
        <f t="shared" si="29"/>
        <v>1.2171017691279705E-4</v>
      </c>
      <c r="AC19">
        <f t="shared" si="39"/>
        <v>1.7835368210872247E-4</v>
      </c>
      <c r="AD19">
        <f t="shared" si="40"/>
        <v>1.3354912283827344E-2</v>
      </c>
      <c r="AE19">
        <f t="shared" si="41"/>
        <v>0.4300281755392405</v>
      </c>
      <c r="AG19">
        <v>1.47</v>
      </c>
      <c r="AH19">
        <f t="shared" si="42"/>
        <v>5.6643505195925417E-5</v>
      </c>
      <c r="AI19">
        <f t="shared" si="43"/>
        <v>1.2171017691279705E-4</v>
      </c>
      <c r="AJ19">
        <f t="shared" si="44"/>
        <v>1.7835368210872247E-4</v>
      </c>
      <c r="AK19">
        <f t="shared" si="45"/>
        <v>1.3354912283827344E-2</v>
      </c>
      <c r="AL19">
        <f t="shared" si="46"/>
        <v>1.9631721057226194E-2</v>
      </c>
    </row>
    <row r="20" spans="1:38" x14ac:dyDescent="0.35">
      <c r="A20" s="32"/>
      <c r="B20">
        <v>5</v>
      </c>
      <c r="C20">
        <v>100</v>
      </c>
      <c r="D20">
        <v>0.1</v>
      </c>
      <c r="E20">
        <v>5</v>
      </c>
      <c r="F20">
        <v>0.1</v>
      </c>
      <c r="G20">
        <f>C20+E20</f>
        <v>105</v>
      </c>
      <c r="H20">
        <f t="shared" si="47"/>
        <v>9.0702947845804985E-7</v>
      </c>
      <c r="I20" s="17"/>
      <c r="J20" s="25">
        <v>758</v>
      </c>
      <c r="K20">
        <v>132</v>
      </c>
      <c r="L20">
        <v>1</v>
      </c>
      <c r="M20">
        <f t="shared" si="31"/>
        <v>5.7392102846648307E-5</v>
      </c>
      <c r="N20">
        <f t="shared" si="32"/>
        <v>5.8299132325106356E-5</v>
      </c>
      <c r="O20">
        <f t="shared" si="33"/>
        <v>7.6353868484253214E-3</v>
      </c>
      <c r="P20">
        <f t="shared" si="34"/>
        <v>5.7876232311063935</v>
      </c>
      <c r="Q20" s="8"/>
      <c r="R20" s="8">
        <v>1049</v>
      </c>
      <c r="S20">
        <v>95</v>
      </c>
      <c r="T20">
        <v>1</v>
      </c>
      <c r="U20">
        <f t="shared" si="35"/>
        <v>1.1080332409972299E-4</v>
      </c>
      <c r="V20">
        <f t="shared" si="36"/>
        <v>1.1171035357818104E-4</v>
      </c>
      <c r="W20">
        <f t="shared" si="37"/>
        <v>1.056931187817736E-2</v>
      </c>
      <c r="X20">
        <f t="shared" si="38"/>
        <v>11.087208160208052</v>
      </c>
      <c r="Z20">
        <v>27.77</v>
      </c>
      <c r="AA20">
        <f t="shared" si="28"/>
        <v>5.8299132325106363E-5</v>
      </c>
      <c r="AB20">
        <f t="shared" si="29"/>
        <v>1.1171035357818104E-4</v>
      </c>
      <c r="AC20">
        <f t="shared" si="39"/>
        <v>1.7000948590328741E-4</v>
      </c>
      <c r="AD20">
        <f t="shared" si="40"/>
        <v>1.3038768573116382E-2</v>
      </c>
      <c r="AE20">
        <f t="shared" si="41"/>
        <v>0.3620866032754419</v>
      </c>
      <c r="AG20">
        <v>1.38</v>
      </c>
      <c r="AH20">
        <f t="shared" si="42"/>
        <v>5.8299132325106363E-5</v>
      </c>
      <c r="AI20">
        <f t="shared" si="43"/>
        <v>1.1171035357818104E-4</v>
      </c>
      <c r="AJ20">
        <f t="shared" si="44"/>
        <v>1.7000948590328741E-4</v>
      </c>
      <c r="AK20">
        <f t="shared" si="45"/>
        <v>1.3038768573116382E-2</v>
      </c>
      <c r="AL20">
        <f t="shared" si="46"/>
        <v>1.7993500630900605E-2</v>
      </c>
    </row>
    <row r="21" spans="1:38" x14ac:dyDescent="0.35">
      <c r="I21" s="8"/>
      <c r="J21" s="8"/>
      <c r="Q21" s="8"/>
      <c r="R21" s="8"/>
    </row>
    <row r="22" spans="1:38" x14ac:dyDescent="0.35">
      <c r="A22" s="32" t="s">
        <v>325</v>
      </c>
      <c r="B22">
        <v>0</v>
      </c>
      <c r="C22">
        <v>100</v>
      </c>
      <c r="D22">
        <v>0.1</v>
      </c>
      <c r="E22">
        <v>0</v>
      </c>
      <c r="F22">
        <v>0</v>
      </c>
      <c r="G22">
        <f>C22+E22</f>
        <v>100</v>
      </c>
      <c r="H22">
        <f>(D22/G22)^2</f>
        <v>9.9999999999999995E-7</v>
      </c>
      <c r="I22" s="8"/>
      <c r="J22">
        <v>835</v>
      </c>
      <c r="K22">
        <v>120</v>
      </c>
      <c r="L22">
        <v>1</v>
      </c>
      <c r="M22">
        <f t="shared" ref="M22:M26" si="48">(L22/K22)^2</f>
        <v>6.9444444444444444E-5</v>
      </c>
      <c r="N22">
        <f t="shared" ref="N22:N26" si="49">H22+M22</f>
        <v>7.0444444444444442E-5</v>
      </c>
      <c r="O22">
        <f t="shared" ref="O22:O26" si="50">SQRT(N22)</f>
        <v>8.3931188746761143E-3</v>
      </c>
      <c r="P22">
        <f t="shared" ref="P22:P26" si="51">J22*O22</f>
        <v>7.0082542603545557</v>
      </c>
      <c r="R22" s="8">
        <v>1056</v>
      </c>
      <c r="S22">
        <v>95</v>
      </c>
      <c r="T22">
        <v>1</v>
      </c>
      <c r="U22">
        <f t="shared" ref="U22:U26" si="52">(T22/S22)^2</f>
        <v>1.1080332409972299E-4</v>
      </c>
      <c r="V22">
        <f t="shared" ref="V22:V26" si="53">H22+U22</f>
        <v>1.1180332409972298E-4</v>
      </c>
      <c r="W22">
        <f t="shared" ref="W22:W26" si="54">SQRT(V22)</f>
        <v>1.0573709098501007E-2</v>
      </c>
      <c r="X22">
        <f t="shared" ref="X22:X26" si="55">R22*W22</f>
        <v>11.165836808017064</v>
      </c>
      <c r="Z22">
        <v>20.89</v>
      </c>
      <c r="AA22">
        <f t="shared" si="28"/>
        <v>7.0444444444444442E-5</v>
      </c>
      <c r="AB22">
        <f t="shared" si="29"/>
        <v>1.1180332409972297E-4</v>
      </c>
      <c r="AC22">
        <f t="shared" ref="AC22:AC26" si="56">AA22+AB22</f>
        <v>1.822477685441674E-4</v>
      </c>
      <c r="AD22">
        <f t="shared" ref="AD22:AD26" si="57">SQRT(AC22)</f>
        <v>1.34999173532347E-2</v>
      </c>
      <c r="AE22">
        <f t="shared" ref="AE22:AE26" si="58">AD22*Z22</f>
        <v>0.2820132735090729</v>
      </c>
      <c r="AG22">
        <v>1.26</v>
      </c>
      <c r="AH22">
        <f t="shared" ref="AH22:AH26" si="59">(P22/J22)^2</f>
        <v>7.0444444444444442E-5</v>
      </c>
      <c r="AI22">
        <f t="shared" ref="AI22:AI26" si="60">(X22/R22)^2</f>
        <v>1.1180332409972297E-4</v>
      </c>
      <c r="AJ22">
        <f t="shared" ref="AJ22:AJ26" si="61">AH22+AI22</f>
        <v>1.822477685441674E-4</v>
      </c>
      <c r="AK22">
        <f t="shared" ref="AK22:AK26" si="62">SQRT(AJ22)</f>
        <v>1.34999173532347E-2</v>
      </c>
      <c r="AL22">
        <f t="shared" ref="AL22:AL26" si="63">AG22*AK22</f>
        <v>1.7009895865075723E-2</v>
      </c>
    </row>
    <row r="23" spans="1:38" x14ac:dyDescent="0.35">
      <c r="A23" s="32"/>
      <c r="B23">
        <v>0.5</v>
      </c>
      <c r="C23">
        <v>100</v>
      </c>
      <c r="D23">
        <v>0.1</v>
      </c>
      <c r="E23">
        <v>0.5</v>
      </c>
      <c r="F23">
        <v>0.1</v>
      </c>
      <c r="G23">
        <f>C23+E23</f>
        <v>100.5</v>
      </c>
      <c r="H23">
        <f t="shared" ref="H23:H26" si="64">(D23/G23)^2</f>
        <v>9.9007450310635896E-7</v>
      </c>
      <c r="I23" s="8"/>
      <c r="J23">
        <v>845</v>
      </c>
      <c r="K23">
        <v>118</v>
      </c>
      <c r="L23">
        <v>1</v>
      </c>
      <c r="M23">
        <f t="shared" si="48"/>
        <v>7.1818442976156281E-5</v>
      </c>
      <c r="N23">
        <f t="shared" si="49"/>
        <v>7.2808517479262645E-5</v>
      </c>
      <c r="O23">
        <f t="shared" si="50"/>
        <v>8.5327907204655294E-3</v>
      </c>
      <c r="P23">
        <f t="shared" si="51"/>
        <v>7.210208158793372</v>
      </c>
      <c r="R23" s="8">
        <v>1190</v>
      </c>
      <c r="S23">
        <v>83</v>
      </c>
      <c r="T23">
        <v>1</v>
      </c>
      <c r="U23">
        <f t="shared" si="52"/>
        <v>1.451589490492089E-4</v>
      </c>
      <c r="V23">
        <f t="shared" si="53"/>
        <v>1.4614902355231525E-4</v>
      </c>
      <c r="W23">
        <f t="shared" si="54"/>
        <v>1.2089211039282722E-2</v>
      </c>
      <c r="X23">
        <f t="shared" si="55"/>
        <v>14.386161136746439</v>
      </c>
      <c r="Z23">
        <v>29.01</v>
      </c>
      <c r="AA23">
        <f t="shared" si="28"/>
        <v>7.2808517479262645E-5</v>
      </c>
      <c r="AB23">
        <f t="shared" si="29"/>
        <v>1.4614902355231522E-4</v>
      </c>
      <c r="AC23">
        <f t="shared" si="56"/>
        <v>2.1895754103157787E-4</v>
      </c>
      <c r="AD23">
        <f t="shared" si="57"/>
        <v>1.4797213961809766E-2</v>
      </c>
      <c r="AE23">
        <f t="shared" si="58"/>
        <v>0.42926717703210132</v>
      </c>
      <c r="AG23">
        <v>1.41</v>
      </c>
      <c r="AH23">
        <f t="shared" si="59"/>
        <v>7.2808517479262645E-5</v>
      </c>
      <c r="AI23">
        <f t="shared" si="60"/>
        <v>1.4614902355231522E-4</v>
      </c>
      <c r="AJ23">
        <f t="shared" si="61"/>
        <v>2.1895754103157787E-4</v>
      </c>
      <c r="AK23">
        <f t="shared" si="62"/>
        <v>1.4797213961809766E-2</v>
      </c>
      <c r="AL23">
        <f t="shared" si="63"/>
        <v>2.0864071686151769E-2</v>
      </c>
    </row>
    <row r="24" spans="1:38" x14ac:dyDescent="0.35">
      <c r="A24" s="32"/>
      <c r="B24">
        <v>1</v>
      </c>
      <c r="C24">
        <v>100</v>
      </c>
      <c r="D24">
        <v>0.1</v>
      </c>
      <c r="E24">
        <v>1</v>
      </c>
      <c r="F24">
        <v>0.1</v>
      </c>
      <c r="G24">
        <f>C24+E24</f>
        <v>101</v>
      </c>
      <c r="H24">
        <f t="shared" si="64"/>
        <v>9.802960494069209E-7</v>
      </c>
      <c r="I24" s="8"/>
      <c r="J24">
        <v>865</v>
      </c>
      <c r="K24">
        <v>116</v>
      </c>
      <c r="L24">
        <v>1</v>
      </c>
      <c r="M24">
        <f t="shared" si="48"/>
        <v>7.4316290130796664E-5</v>
      </c>
      <c r="N24">
        <f t="shared" si="49"/>
        <v>7.5296586180203585E-5</v>
      </c>
      <c r="O24">
        <f t="shared" si="50"/>
        <v>8.677360553774608E-3</v>
      </c>
      <c r="P24">
        <f t="shared" si="51"/>
        <v>7.5059168790150359</v>
      </c>
      <c r="Q24" s="8"/>
      <c r="R24" s="8">
        <v>1210</v>
      </c>
      <c r="S24">
        <v>83</v>
      </c>
      <c r="T24">
        <v>1</v>
      </c>
      <c r="U24">
        <f t="shared" si="52"/>
        <v>1.451589490492089E-4</v>
      </c>
      <c r="V24">
        <f t="shared" si="53"/>
        <v>1.4613924509861582E-4</v>
      </c>
      <c r="W24">
        <f t="shared" si="54"/>
        <v>1.2088806603574061E-2</v>
      </c>
      <c r="X24">
        <f t="shared" si="55"/>
        <v>14.627455990324615</v>
      </c>
      <c r="Z24">
        <v>29.7</v>
      </c>
      <c r="AA24">
        <f t="shared" si="28"/>
        <v>7.5296586180203571E-5</v>
      </c>
      <c r="AB24">
        <f t="shared" si="29"/>
        <v>1.4613924509861582E-4</v>
      </c>
      <c r="AC24">
        <f t="shared" si="56"/>
        <v>2.214358312788194E-4</v>
      </c>
      <c r="AD24">
        <f t="shared" si="57"/>
        <v>1.4880720119631959E-2</v>
      </c>
      <c r="AE24">
        <f t="shared" si="58"/>
        <v>0.44195738755306918</v>
      </c>
      <c r="AG24">
        <v>1.42</v>
      </c>
      <c r="AH24">
        <f t="shared" si="59"/>
        <v>7.5296586180203571E-5</v>
      </c>
      <c r="AI24">
        <f t="shared" si="60"/>
        <v>1.4613924509861582E-4</v>
      </c>
      <c r="AJ24">
        <f t="shared" si="61"/>
        <v>2.214358312788194E-4</v>
      </c>
      <c r="AK24">
        <f t="shared" si="62"/>
        <v>1.4880720119631959E-2</v>
      </c>
      <c r="AL24">
        <f t="shared" si="63"/>
        <v>2.113062256987738E-2</v>
      </c>
    </row>
    <row r="25" spans="1:38" x14ac:dyDescent="0.35">
      <c r="A25" s="32"/>
      <c r="B25">
        <v>2.5</v>
      </c>
      <c r="C25">
        <v>100</v>
      </c>
      <c r="D25">
        <v>0.1</v>
      </c>
      <c r="E25">
        <v>2.5</v>
      </c>
      <c r="F25">
        <v>0.1</v>
      </c>
      <c r="G25">
        <f>C25+E25</f>
        <v>102.5</v>
      </c>
      <c r="H25">
        <f t="shared" si="64"/>
        <v>9.5181439619274262E-7</v>
      </c>
      <c r="I25" s="17"/>
      <c r="J25">
        <v>840</v>
      </c>
      <c r="K25">
        <v>119</v>
      </c>
      <c r="L25">
        <v>1</v>
      </c>
      <c r="M25">
        <f t="shared" si="48"/>
        <v>7.0616481886872395E-5</v>
      </c>
      <c r="N25">
        <f t="shared" si="49"/>
        <v>7.1568296283065143E-5</v>
      </c>
      <c r="O25">
        <f t="shared" si="50"/>
        <v>8.4598047426087293E-3</v>
      </c>
      <c r="P25">
        <f t="shared" si="51"/>
        <v>7.1062359837913327</v>
      </c>
      <c r="Q25" s="17"/>
      <c r="R25" s="8">
        <v>1124</v>
      </c>
      <c r="S25">
        <v>89</v>
      </c>
      <c r="T25">
        <v>1</v>
      </c>
      <c r="U25">
        <f t="shared" si="52"/>
        <v>1.2624668602449185E-4</v>
      </c>
      <c r="V25">
        <f t="shared" si="53"/>
        <v>1.271985004206846E-4</v>
      </c>
      <c r="W25">
        <f t="shared" si="54"/>
        <v>1.1278231262954515E-2</v>
      </c>
      <c r="X25">
        <f t="shared" si="55"/>
        <v>12.676731939560876</v>
      </c>
      <c r="Z25">
        <v>25.2</v>
      </c>
      <c r="AA25">
        <f t="shared" si="28"/>
        <v>7.1568296283065143E-5</v>
      </c>
      <c r="AB25">
        <f t="shared" si="29"/>
        <v>1.271985004206846E-4</v>
      </c>
      <c r="AC25">
        <f t="shared" si="56"/>
        <v>1.9876679670374975E-4</v>
      </c>
      <c r="AD25">
        <f t="shared" si="57"/>
        <v>1.4098467884977777E-2</v>
      </c>
      <c r="AE25">
        <f t="shared" si="58"/>
        <v>0.35528139070143999</v>
      </c>
      <c r="AG25">
        <v>1.34</v>
      </c>
      <c r="AH25">
        <f t="shared" si="59"/>
        <v>7.1568296283065143E-5</v>
      </c>
      <c r="AI25">
        <f t="shared" si="60"/>
        <v>1.271985004206846E-4</v>
      </c>
      <c r="AJ25">
        <f t="shared" si="61"/>
        <v>1.9876679670374975E-4</v>
      </c>
      <c r="AK25">
        <f t="shared" si="62"/>
        <v>1.4098467884977777E-2</v>
      </c>
      <c r="AL25">
        <f t="shared" si="63"/>
        <v>1.889194696587022E-2</v>
      </c>
    </row>
    <row r="26" spans="1:38" x14ac:dyDescent="0.35">
      <c r="A26" s="32"/>
      <c r="B26">
        <v>5</v>
      </c>
      <c r="C26">
        <v>100</v>
      </c>
      <c r="D26">
        <v>0.1</v>
      </c>
      <c r="E26">
        <v>5</v>
      </c>
      <c r="F26">
        <v>0.1</v>
      </c>
      <c r="G26">
        <f>C26+E26</f>
        <v>105</v>
      </c>
      <c r="H26">
        <f t="shared" si="64"/>
        <v>9.0702947845804985E-7</v>
      </c>
      <c r="I26" s="8"/>
      <c r="J26">
        <v>769</v>
      </c>
      <c r="K26">
        <v>130</v>
      </c>
      <c r="L26">
        <v>1</v>
      </c>
      <c r="M26">
        <f t="shared" si="48"/>
        <v>5.9171597633136101E-5</v>
      </c>
      <c r="N26">
        <f t="shared" si="49"/>
        <v>6.007862711159415E-5</v>
      </c>
      <c r="O26">
        <f t="shared" si="50"/>
        <v>7.7510403889796721E-3</v>
      </c>
      <c r="P26">
        <f t="shared" si="51"/>
        <v>5.9605500591253682</v>
      </c>
      <c r="Q26" s="8"/>
      <c r="R26" s="8">
        <v>1136</v>
      </c>
      <c r="S26">
        <v>88</v>
      </c>
      <c r="T26">
        <v>1</v>
      </c>
      <c r="U26">
        <f t="shared" si="52"/>
        <v>1.2913223140495868E-4</v>
      </c>
      <c r="V26">
        <f t="shared" si="53"/>
        <v>1.3003926088341674E-4</v>
      </c>
      <c r="W26">
        <f t="shared" si="54"/>
        <v>1.1403475824651742E-2</v>
      </c>
      <c r="X26">
        <f t="shared" si="55"/>
        <v>12.95434853680438</v>
      </c>
      <c r="Z26">
        <v>32.31</v>
      </c>
      <c r="AA26">
        <f t="shared" si="28"/>
        <v>6.007862711159415E-5</v>
      </c>
      <c r="AB26">
        <f t="shared" si="29"/>
        <v>1.3003926088341674E-4</v>
      </c>
      <c r="AC26">
        <f t="shared" si="56"/>
        <v>1.9011788799501089E-4</v>
      </c>
      <c r="AD26">
        <f t="shared" si="57"/>
        <v>1.3788324336010191E-2</v>
      </c>
      <c r="AE26">
        <f t="shared" si="58"/>
        <v>0.4455007592964893</v>
      </c>
      <c r="AG26">
        <v>1.48</v>
      </c>
      <c r="AH26">
        <f t="shared" si="59"/>
        <v>6.007862711159415E-5</v>
      </c>
      <c r="AI26">
        <f t="shared" si="60"/>
        <v>1.3003926088341674E-4</v>
      </c>
      <c r="AJ26">
        <f t="shared" si="61"/>
        <v>1.9011788799501089E-4</v>
      </c>
      <c r="AK26">
        <f t="shared" si="62"/>
        <v>1.3788324336010191E-2</v>
      </c>
      <c r="AL26">
        <f t="shared" si="63"/>
        <v>2.0406720017295082E-2</v>
      </c>
    </row>
    <row r="27" spans="1:38" x14ac:dyDescent="0.35">
      <c r="I27" s="8"/>
      <c r="Q27" s="8"/>
    </row>
    <row r="28" spans="1:38" x14ac:dyDescent="0.35">
      <c r="A28" s="32" t="s">
        <v>7</v>
      </c>
      <c r="B28">
        <v>0</v>
      </c>
      <c r="C28">
        <v>100</v>
      </c>
      <c r="D28">
        <v>0.1</v>
      </c>
      <c r="E28">
        <v>0</v>
      </c>
      <c r="F28">
        <v>0</v>
      </c>
      <c r="G28">
        <f>C28+E28</f>
        <v>100</v>
      </c>
      <c r="H28">
        <f>(D28/G28)^2</f>
        <v>9.9999999999999995E-7</v>
      </c>
      <c r="I28" s="8"/>
      <c r="J28">
        <v>1468</v>
      </c>
      <c r="K28">
        <v>68</v>
      </c>
      <c r="L28">
        <v>1</v>
      </c>
      <c r="M28">
        <f t="shared" ref="M28:M32" si="65">(L28/K28)^2</f>
        <v>2.1626297577854672E-4</v>
      </c>
      <c r="N28">
        <f t="shared" ref="N28:N32" si="66">H28+M28</f>
        <v>2.1726297577854672E-4</v>
      </c>
      <c r="O28">
        <f t="shared" ref="O28:O32" si="67">SQRT(N28)</f>
        <v>1.4739843139550256E-2</v>
      </c>
      <c r="P28">
        <f t="shared" ref="P28:P32" si="68">J28*O28</f>
        <v>21.638089728859775</v>
      </c>
      <c r="Q28" s="8"/>
      <c r="R28" s="8">
        <v>1517</v>
      </c>
      <c r="S28">
        <v>66</v>
      </c>
      <c r="T28">
        <v>1</v>
      </c>
      <c r="U28">
        <f t="shared" ref="U28:U32" si="69">(T28/S28)^2</f>
        <v>2.2956841138659323E-4</v>
      </c>
      <c r="V28">
        <f t="shared" ref="V28:V32" si="70">H28+U28</f>
        <v>2.3056841138659323E-4</v>
      </c>
      <c r="W28">
        <f t="shared" ref="W28:W32" si="71">SQRT(V28)</f>
        <v>1.5184479292573494E-2</v>
      </c>
      <c r="X28">
        <f t="shared" ref="X28:X32" si="72">R28*W28</f>
        <v>23.034855086833989</v>
      </c>
      <c r="Z28">
        <v>3.27</v>
      </c>
      <c r="AA28">
        <f t="shared" si="28"/>
        <v>2.1726297577854674E-4</v>
      </c>
      <c r="AB28">
        <f t="shared" si="29"/>
        <v>2.3056841138659323E-4</v>
      </c>
      <c r="AC28">
        <f t="shared" ref="AC28:AC32" si="73">AA28+AB28</f>
        <v>4.4783138716514E-4</v>
      </c>
      <c r="AD28">
        <f t="shared" ref="AD28:AD32" si="74">SQRT(AC28)</f>
        <v>2.1162027009838637E-2</v>
      </c>
      <c r="AE28">
        <f t="shared" ref="AE28:AE32" si="75">AD28*Z28</f>
        <v>6.9199828322172349E-2</v>
      </c>
      <c r="AG28">
        <v>1.03</v>
      </c>
      <c r="AH28">
        <f t="shared" ref="AH28:AH32" si="76">(P28/J28)^2</f>
        <v>2.1726297577854674E-4</v>
      </c>
      <c r="AI28">
        <f t="shared" ref="AI28:AI32" si="77">(X28/R28)^2</f>
        <v>2.3056841138659323E-4</v>
      </c>
      <c r="AJ28">
        <f t="shared" ref="AJ28:AJ32" si="78">AH28+AI28</f>
        <v>4.4783138716514E-4</v>
      </c>
      <c r="AK28">
        <f t="shared" ref="AK28:AK32" si="79">SQRT(AJ28)</f>
        <v>2.1162027009838637E-2</v>
      </c>
      <c r="AL28">
        <f t="shared" ref="AL28:AL32" si="80">AG28*AK28</f>
        <v>2.1796887820133795E-2</v>
      </c>
    </row>
    <row r="29" spans="1:38" x14ac:dyDescent="0.35">
      <c r="A29" s="32"/>
      <c r="B29">
        <v>0.5</v>
      </c>
      <c r="C29">
        <v>100</v>
      </c>
      <c r="D29">
        <v>0.1</v>
      </c>
      <c r="E29">
        <v>0.5</v>
      </c>
      <c r="F29">
        <v>0.1</v>
      </c>
      <c r="G29">
        <f>C29+E29</f>
        <v>100.5</v>
      </c>
      <c r="H29">
        <f t="shared" ref="H29:H32" si="81">(D29/G29)^2</f>
        <v>9.9007450310635896E-7</v>
      </c>
      <c r="I29" s="8"/>
      <c r="J29">
        <v>1111</v>
      </c>
      <c r="K29">
        <v>90</v>
      </c>
      <c r="L29">
        <v>1</v>
      </c>
      <c r="M29">
        <f t="shared" si="65"/>
        <v>1.2345679012345679E-4</v>
      </c>
      <c r="N29">
        <f t="shared" si="66"/>
        <v>1.2444686462656314E-4</v>
      </c>
      <c r="O29">
        <f t="shared" si="67"/>
        <v>1.1155575495085996E-2</v>
      </c>
      <c r="P29">
        <f t="shared" si="68"/>
        <v>12.39384437504054</v>
      </c>
      <c r="Q29" s="8"/>
      <c r="R29" s="8">
        <v>1333</v>
      </c>
      <c r="S29">
        <v>75</v>
      </c>
      <c r="T29">
        <v>1</v>
      </c>
      <c r="U29">
        <f t="shared" si="69"/>
        <v>1.7777777777777781E-4</v>
      </c>
      <c r="V29">
        <f t="shared" si="70"/>
        <v>1.7876785228088416E-4</v>
      </c>
      <c r="W29">
        <f t="shared" si="71"/>
        <v>1.3370409577903145E-2</v>
      </c>
      <c r="X29">
        <f t="shared" si="72"/>
        <v>17.822755967344893</v>
      </c>
      <c r="Z29">
        <v>16.670000000000002</v>
      </c>
      <c r="AA29">
        <f t="shared" si="28"/>
        <v>1.2444686462656317E-4</v>
      </c>
      <c r="AB29">
        <f t="shared" si="29"/>
        <v>1.7876785228088416E-4</v>
      </c>
      <c r="AC29">
        <f t="shared" si="73"/>
        <v>3.0321471690744736E-4</v>
      </c>
      <c r="AD29">
        <f t="shared" si="74"/>
        <v>1.7413061675289828E-2</v>
      </c>
      <c r="AE29">
        <f t="shared" si="75"/>
        <v>0.29027573812708146</v>
      </c>
      <c r="AG29">
        <v>1.2</v>
      </c>
      <c r="AH29">
        <f t="shared" si="76"/>
        <v>1.2444686462656317E-4</v>
      </c>
      <c r="AI29">
        <f t="shared" si="77"/>
        <v>1.7876785228088416E-4</v>
      </c>
      <c r="AJ29">
        <f t="shared" si="78"/>
        <v>3.0321471690744736E-4</v>
      </c>
      <c r="AK29">
        <f t="shared" si="79"/>
        <v>1.7413061675289828E-2</v>
      </c>
      <c r="AL29">
        <f t="shared" si="80"/>
        <v>2.0895674010347792E-2</v>
      </c>
    </row>
    <row r="30" spans="1:38" x14ac:dyDescent="0.35">
      <c r="A30" s="32"/>
      <c r="B30">
        <v>1</v>
      </c>
      <c r="C30">
        <v>100</v>
      </c>
      <c r="D30">
        <v>0.1</v>
      </c>
      <c r="E30">
        <v>1</v>
      </c>
      <c r="F30">
        <v>0.1</v>
      </c>
      <c r="G30">
        <f>C30+E30</f>
        <v>101</v>
      </c>
      <c r="H30">
        <f t="shared" si="81"/>
        <v>9.802960494069209E-7</v>
      </c>
      <c r="J30">
        <v>877</v>
      </c>
      <c r="K30">
        <v>144</v>
      </c>
      <c r="L30">
        <v>1</v>
      </c>
      <c r="M30">
        <f t="shared" si="65"/>
        <v>4.8225308641975306E-5</v>
      </c>
      <c r="N30">
        <f t="shared" si="66"/>
        <v>4.9205604691382227E-5</v>
      </c>
      <c r="O30">
        <f t="shared" si="67"/>
        <v>7.0146706759036254E-3</v>
      </c>
      <c r="P30">
        <f t="shared" si="68"/>
        <v>6.1518661827674794</v>
      </c>
      <c r="Q30" s="8"/>
      <c r="R30" s="8">
        <v>1316</v>
      </c>
      <c r="S30">
        <v>76</v>
      </c>
      <c r="T30">
        <v>1</v>
      </c>
      <c r="U30">
        <f t="shared" si="69"/>
        <v>1.7313019390581715E-4</v>
      </c>
      <c r="V30">
        <f t="shared" si="70"/>
        <v>1.7411048995522407E-4</v>
      </c>
      <c r="W30">
        <f t="shared" si="71"/>
        <v>1.3195093404566111E-2</v>
      </c>
      <c r="X30">
        <f t="shared" si="72"/>
        <v>17.364742920409004</v>
      </c>
      <c r="Z30">
        <v>33.33</v>
      </c>
      <c r="AA30">
        <f t="shared" si="28"/>
        <v>4.9205604691382227E-5</v>
      </c>
      <c r="AB30">
        <f t="shared" si="29"/>
        <v>1.7411048995522412E-4</v>
      </c>
      <c r="AC30">
        <f t="shared" si="73"/>
        <v>2.2331609464660635E-4</v>
      </c>
      <c r="AD30">
        <f t="shared" si="74"/>
        <v>1.494376440682221E-2</v>
      </c>
      <c r="AE30">
        <f t="shared" si="75"/>
        <v>0.49807566767938422</v>
      </c>
      <c r="AG30">
        <v>1.5</v>
      </c>
      <c r="AH30">
        <f t="shared" si="76"/>
        <v>4.9205604691382227E-5</v>
      </c>
      <c r="AI30">
        <f t="shared" si="77"/>
        <v>1.7411048995522412E-4</v>
      </c>
      <c r="AJ30">
        <f t="shared" si="78"/>
        <v>2.2331609464660635E-4</v>
      </c>
      <c r="AK30">
        <f t="shared" si="79"/>
        <v>1.494376440682221E-2</v>
      </c>
      <c r="AL30">
        <f t="shared" si="80"/>
        <v>2.2415646610233313E-2</v>
      </c>
    </row>
    <row r="31" spans="1:38" x14ac:dyDescent="0.35">
      <c r="A31" s="32"/>
      <c r="B31">
        <v>2.5</v>
      </c>
      <c r="C31">
        <v>100</v>
      </c>
      <c r="D31">
        <v>0.1</v>
      </c>
      <c r="E31">
        <v>2.5</v>
      </c>
      <c r="F31">
        <v>0.1</v>
      </c>
      <c r="G31">
        <f>C31+E31</f>
        <v>102.5</v>
      </c>
      <c r="H31">
        <f t="shared" si="81"/>
        <v>9.5181439619274262E-7</v>
      </c>
      <c r="I31" s="8"/>
      <c r="J31">
        <v>877</v>
      </c>
      <c r="K31">
        <v>144</v>
      </c>
      <c r="L31">
        <v>1</v>
      </c>
      <c r="M31">
        <f t="shared" si="65"/>
        <v>4.8225308641975306E-5</v>
      </c>
      <c r="N31">
        <f t="shared" si="66"/>
        <v>4.9177123038168047E-5</v>
      </c>
      <c r="O31">
        <f t="shared" si="67"/>
        <v>7.0126402330483234E-3</v>
      </c>
      <c r="P31">
        <f t="shared" si="68"/>
        <v>6.1500854843833794</v>
      </c>
      <c r="Q31" s="17"/>
      <c r="R31" s="8">
        <v>1333</v>
      </c>
      <c r="S31">
        <v>75</v>
      </c>
      <c r="T31">
        <v>1</v>
      </c>
      <c r="U31">
        <f t="shared" si="69"/>
        <v>1.7777777777777781E-4</v>
      </c>
      <c r="V31">
        <f t="shared" si="70"/>
        <v>1.7872959217397056E-4</v>
      </c>
      <c r="W31">
        <f t="shared" si="71"/>
        <v>1.3368978725915101E-2</v>
      </c>
      <c r="X31">
        <f t="shared" si="72"/>
        <v>17.82084864164483</v>
      </c>
      <c r="Z31">
        <v>34.200000000000003</v>
      </c>
      <c r="AA31">
        <f t="shared" si="28"/>
        <v>4.917712303816804E-5</v>
      </c>
      <c r="AB31">
        <f t="shared" si="29"/>
        <v>1.7872959217397056E-4</v>
      </c>
      <c r="AC31">
        <f t="shared" si="73"/>
        <v>2.2790671521213859E-4</v>
      </c>
      <c r="AD31">
        <f t="shared" si="74"/>
        <v>1.5096579586520206E-2</v>
      </c>
      <c r="AE31">
        <f t="shared" si="75"/>
        <v>0.51630302185899113</v>
      </c>
      <c r="AG31">
        <v>1.52</v>
      </c>
      <c r="AH31">
        <f t="shared" si="76"/>
        <v>4.917712303816804E-5</v>
      </c>
      <c r="AI31">
        <f t="shared" si="77"/>
        <v>1.7872959217397056E-4</v>
      </c>
      <c r="AJ31">
        <f t="shared" si="78"/>
        <v>2.2790671521213859E-4</v>
      </c>
      <c r="AK31">
        <f t="shared" si="79"/>
        <v>1.5096579586520206E-2</v>
      </c>
      <c r="AL31">
        <f t="shared" si="80"/>
        <v>2.2946800971510715E-2</v>
      </c>
    </row>
    <row r="32" spans="1:38" x14ac:dyDescent="0.35">
      <c r="A32" s="32"/>
      <c r="B32">
        <v>5</v>
      </c>
      <c r="C32">
        <v>100</v>
      </c>
      <c r="D32">
        <v>0.1</v>
      </c>
      <c r="E32">
        <v>5</v>
      </c>
      <c r="F32">
        <v>0.1</v>
      </c>
      <c r="G32">
        <f>C32+E32</f>
        <v>105</v>
      </c>
      <c r="H32">
        <f t="shared" si="81"/>
        <v>9.0702947845804985E-7</v>
      </c>
      <c r="I32" s="17"/>
      <c r="J32">
        <v>893</v>
      </c>
      <c r="K32">
        <v>112</v>
      </c>
      <c r="L32">
        <v>1</v>
      </c>
      <c r="M32">
        <f t="shared" si="65"/>
        <v>7.9719387755102034E-5</v>
      </c>
      <c r="N32">
        <f t="shared" si="66"/>
        <v>8.062641723356009E-5</v>
      </c>
      <c r="O32">
        <f t="shared" si="67"/>
        <v>8.9792214157776561E-3</v>
      </c>
      <c r="P32">
        <f t="shared" si="68"/>
        <v>8.0184447242894468</v>
      </c>
      <c r="Q32" s="8"/>
      <c r="R32" s="8">
        <v>1408</v>
      </c>
      <c r="S32">
        <v>71</v>
      </c>
      <c r="T32">
        <v>1</v>
      </c>
      <c r="U32">
        <f t="shared" si="69"/>
        <v>1.9837333862328903E-4</v>
      </c>
      <c r="V32">
        <f t="shared" si="70"/>
        <v>1.9928036810174708E-4</v>
      </c>
      <c r="W32">
        <f t="shared" si="71"/>
        <v>1.4116669865862384E-2</v>
      </c>
      <c r="X32">
        <f t="shared" si="72"/>
        <v>19.876271171134235</v>
      </c>
      <c r="Z32">
        <v>36.61</v>
      </c>
      <c r="AA32">
        <f t="shared" si="28"/>
        <v>8.062641723356009E-5</v>
      </c>
      <c r="AB32">
        <f t="shared" si="29"/>
        <v>1.9928036810174703E-4</v>
      </c>
      <c r="AC32">
        <f t="shared" si="73"/>
        <v>2.7990678533530711E-4</v>
      </c>
      <c r="AD32">
        <f t="shared" si="74"/>
        <v>1.6730414977976699E-2</v>
      </c>
      <c r="AE32">
        <f t="shared" si="75"/>
        <v>0.61250049234372694</v>
      </c>
      <c r="AG32">
        <v>1.58</v>
      </c>
      <c r="AH32">
        <f t="shared" si="76"/>
        <v>8.062641723356009E-5</v>
      </c>
      <c r="AI32">
        <f t="shared" si="77"/>
        <v>1.9928036810174703E-4</v>
      </c>
      <c r="AJ32">
        <f t="shared" si="78"/>
        <v>2.7990678533530711E-4</v>
      </c>
      <c r="AK32">
        <f t="shared" si="79"/>
        <v>1.6730414977976699E-2</v>
      </c>
      <c r="AL32">
        <f t="shared" si="80"/>
        <v>2.6434055665203186E-2</v>
      </c>
    </row>
    <row r="33" spans="1:38" x14ac:dyDescent="0.35">
      <c r="I33" s="8"/>
      <c r="Q33" s="8"/>
    </row>
    <row r="34" spans="1:38" x14ac:dyDescent="0.35">
      <c r="A34" s="32" t="s">
        <v>326</v>
      </c>
      <c r="B34">
        <v>0</v>
      </c>
      <c r="C34">
        <v>100</v>
      </c>
      <c r="D34">
        <v>0.1</v>
      </c>
      <c r="E34">
        <v>0</v>
      </c>
      <c r="F34">
        <v>0</v>
      </c>
      <c r="G34">
        <f>C34+E34</f>
        <v>100</v>
      </c>
      <c r="H34">
        <f>(D34/G34)^2</f>
        <v>9.9999999999999995E-7</v>
      </c>
      <c r="I34" s="8"/>
      <c r="J34">
        <v>1320</v>
      </c>
      <c r="K34">
        <v>76</v>
      </c>
      <c r="L34">
        <v>1</v>
      </c>
      <c r="M34">
        <f t="shared" ref="M34:M38" si="82">(L34/K34)^2</f>
        <v>1.7313019390581715E-4</v>
      </c>
      <c r="N34">
        <f t="shared" ref="N34:N38" si="83">H34+M34</f>
        <v>1.7413019390581714E-4</v>
      </c>
      <c r="O34">
        <f t="shared" ref="O34:O38" si="84">SQRT(N34)</f>
        <v>1.3195840022742666E-2</v>
      </c>
      <c r="P34">
        <f t="shared" ref="P34:P38" si="85">J34*O34</f>
        <v>17.418508830020318</v>
      </c>
      <c r="Q34" s="8"/>
      <c r="R34" s="8">
        <v>1550</v>
      </c>
      <c r="S34">
        <v>64</v>
      </c>
      <c r="T34">
        <v>1</v>
      </c>
      <c r="U34">
        <f t="shared" ref="U34:U38" si="86">(T34/S34)^2</f>
        <v>2.44140625E-4</v>
      </c>
      <c r="V34">
        <f t="shared" ref="V34:V38" si="87">H34+U34</f>
        <v>2.4514062500000002E-4</v>
      </c>
      <c r="W34">
        <f t="shared" ref="W34:W38" si="88">SQRT(V34)</f>
        <v>1.5656967298937556E-2</v>
      </c>
      <c r="X34">
        <f t="shared" ref="X34:X38" si="89">R34*W34</f>
        <v>24.268299313353211</v>
      </c>
      <c r="Z34">
        <v>15.35</v>
      </c>
      <c r="AA34">
        <f t="shared" si="28"/>
        <v>1.7413019390581714E-4</v>
      </c>
      <c r="AB34">
        <f t="shared" si="29"/>
        <v>2.4514062499999997E-4</v>
      </c>
      <c r="AC34">
        <f t="shared" ref="AC34:AC38" si="90">AA34+AB34</f>
        <v>4.1927081890581709E-4</v>
      </c>
      <c r="AD34">
        <f t="shared" ref="AD34:AD38" si="91">SQRT(AC34)</f>
        <v>2.0476103606541386E-2</v>
      </c>
      <c r="AE34">
        <f t="shared" ref="AE34:AE38" si="92">AD34*Z34</f>
        <v>0.31430819036041024</v>
      </c>
      <c r="AG34">
        <v>1.18</v>
      </c>
      <c r="AH34">
        <f t="shared" ref="AH34:AH38" si="93">(P34/J34)^2</f>
        <v>1.7413019390581714E-4</v>
      </c>
      <c r="AI34">
        <f t="shared" ref="AI34:AI38" si="94">(X34/R34)^2</f>
        <v>2.4514062499999997E-4</v>
      </c>
      <c r="AJ34">
        <f t="shared" ref="AJ34:AJ38" si="95">AH34+AI34</f>
        <v>4.1927081890581709E-4</v>
      </c>
      <c r="AK34">
        <f t="shared" ref="AK34:AK38" si="96">SQRT(AJ34)</f>
        <v>2.0476103606541386E-2</v>
      </c>
      <c r="AL34">
        <f t="shared" ref="AL34:AL38" si="97">AG34*AK34</f>
        <v>2.4161802255718835E-2</v>
      </c>
    </row>
    <row r="35" spans="1:38" x14ac:dyDescent="0.35">
      <c r="A35" s="32"/>
      <c r="B35">
        <v>0.5</v>
      </c>
      <c r="C35">
        <v>100</v>
      </c>
      <c r="D35">
        <v>0.1</v>
      </c>
      <c r="E35">
        <v>0.5</v>
      </c>
      <c r="F35">
        <v>0.1</v>
      </c>
      <c r="G35">
        <f>C35+E35</f>
        <v>100.5</v>
      </c>
      <c r="H35">
        <f t="shared" ref="H35:H38" si="98">(D35/G35)^2</f>
        <v>9.9007450310635896E-7</v>
      </c>
      <c r="I35" s="17"/>
      <c r="J35">
        <v>1055</v>
      </c>
      <c r="K35">
        <v>95</v>
      </c>
      <c r="L35">
        <v>1</v>
      </c>
      <c r="M35">
        <f t="shared" si="82"/>
        <v>1.1080332409972299E-4</v>
      </c>
      <c r="N35">
        <f t="shared" si="83"/>
        <v>1.1179339860282935E-4</v>
      </c>
      <c r="O35">
        <f t="shared" si="84"/>
        <v>1.0573239740156721E-2</v>
      </c>
      <c r="P35">
        <f t="shared" si="85"/>
        <v>11.15476792586534</v>
      </c>
      <c r="Q35" s="8"/>
      <c r="R35" s="8">
        <v>1235</v>
      </c>
      <c r="S35">
        <v>81</v>
      </c>
      <c r="T35">
        <v>1</v>
      </c>
      <c r="U35">
        <f t="shared" si="86"/>
        <v>1.5241579027587256E-4</v>
      </c>
      <c r="V35">
        <f t="shared" si="87"/>
        <v>1.5340586477897891E-4</v>
      </c>
      <c r="W35">
        <f t="shared" si="88"/>
        <v>1.2385712122400508E-2</v>
      </c>
      <c r="X35">
        <f t="shared" si="89"/>
        <v>15.296354471164628</v>
      </c>
      <c r="Z35">
        <v>14.7</v>
      </c>
      <c r="AA35">
        <f t="shared" si="28"/>
        <v>1.1179339860282935E-4</v>
      </c>
      <c r="AB35">
        <f t="shared" si="29"/>
        <v>1.5340586477897891E-4</v>
      </c>
      <c r="AC35">
        <f t="shared" si="90"/>
        <v>2.6519926338180826E-4</v>
      </c>
      <c r="AD35">
        <f t="shared" si="91"/>
        <v>1.6284939772127138E-2</v>
      </c>
      <c r="AE35">
        <f t="shared" si="92"/>
        <v>0.23938861465026892</v>
      </c>
      <c r="AG35">
        <v>1.18</v>
      </c>
      <c r="AH35">
        <f t="shared" si="93"/>
        <v>1.1179339860282935E-4</v>
      </c>
      <c r="AI35">
        <f t="shared" si="94"/>
        <v>1.5340586477897891E-4</v>
      </c>
      <c r="AJ35">
        <f t="shared" si="95"/>
        <v>2.6519926338180826E-4</v>
      </c>
      <c r="AK35">
        <f t="shared" si="96"/>
        <v>1.6284939772127138E-2</v>
      </c>
      <c r="AL35">
        <f t="shared" si="97"/>
        <v>1.9216228931110021E-2</v>
      </c>
    </row>
    <row r="36" spans="1:38" x14ac:dyDescent="0.35">
      <c r="A36" s="32"/>
      <c r="B36">
        <v>1</v>
      </c>
      <c r="C36">
        <v>100</v>
      </c>
      <c r="D36">
        <v>0.1</v>
      </c>
      <c r="E36">
        <v>1</v>
      </c>
      <c r="F36">
        <v>0.1</v>
      </c>
      <c r="G36">
        <f>C36+E36</f>
        <v>101</v>
      </c>
      <c r="H36">
        <f t="shared" si="98"/>
        <v>9.802960494069209E-7</v>
      </c>
      <c r="I36" s="8"/>
      <c r="J36">
        <v>944</v>
      </c>
      <c r="K36">
        <v>106</v>
      </c>
      <c r="L36">
        <v>1</v>
      </c>
      <c r="M36">
        <f t="shared" si="82"/>
        <v>8.8999644001423986E-5</v>
      </c>
      <c r="N36">
        <f t="shared" si="83"/>
        <v>8.9979940050830906E-5</v>
      </c>
      <c r="O36">
        <f t="shared" si="84"/>
        <v>9.4857756694342564E-3</v>
      </c>
      <c r="P36">
        <f t="shared" si="85"/>
        <v>8.9545722319459387</v>
      </c>
      <c r="Q36" s="17"/>
      <c r="R36" s="8">
        <v>1133</v>
      </c>
      <c r="S36">
        <v>88</v>
      </c>
      <c r="T36">
        <v>1</v>
      </c>
      <c r="U36">
        <f t="shared" si="86"/>
        <v>1.2913223140495868E-4</v>
      </c>
      <c r="V36">
        <f t="shared" si="87"/>
        <v>1.301125274543656E-4</v>
      </c>
      <c r="W36">
        <f t="shared" si="88"/>
        <v>1.1406687838911241E-2</v>
      </c>
      <c r="X36">
        <f t="shared" si="89"/>
        <v>12.923777321486437</v>
      </c>
      <c r="Z36">
        <v>16.66</v>
      </c>
      <c r="AA36">
        <f t="shared" si="28"/>
        <v>8.997994005083092E-5</v>
      </c>
      <c r="AB36">
        <f t="shared" si="29"/>
        <v>1.301125274543656E-4</v>
      </c>
      <c r="AC36">
        <f t="shared" si="90"/>
        <v>2.2009246750519652E-4</v>
      </c>
      <c r="AD36">
        <f t="shared" si="91"/>
        <v>1.4835513725692027E-2</v>
      </c>
      <c r="AE36">
        <f t="shared" si="92"/>
        <v>0.24715965867002918</v>
      </c>
      <c r="AG36">
        <v>1.2</v>
      </c>
      <c r="AH36">
        <f t="shared" si="93"/>
        <v>8.997994005083092E-5</v>
      </c>
      <c r="AI36">
        <f t="shared" si="94"/>
        <v>1.301125274543656E-4</v>
      </c>
      <c r="AJ36">
        <f t="shared" si="95"/>
        <v>2.2009246750519652E-4</v>
      </c>
      <c r="AK36">
        <f t="shared" si="96"/>
        <v>1.4835513725692027E-2</v>
      </c>
      <c r="AL36">
        <f t="shared" si="97"/>
        <v>1.780261647083043E-2</v>
      </c>
    </row>
    <row r="37" spans="1:38" x14ac:dyDescent="0.35">
      <c r="A37" s="32"/>
      <c r="B37">
        <v>2.5</v>
      </c>
      <c r="C37">
        <v>100</v>
      </c>
      <c r="D37">
        <v>0.1</v>
      </c>
      <c r="E37">
        <v>2.5</v>
      </c>
      <c r="F37">
        <v>0.1</v>
      </c>
      <c r="G37">
        <f>C37+E37</f>
        <v>102.5</v>
      </c>
      <c r="H37">
        <f t="shared" si="98"/>
        <v>9.5181439619274262E-7</v>
      </c>
      <c r="I37" s="8"/>
      <c r="J37">
        <v>862</v>
      </c>
      <c r="K37">
        <v>116</v>
      </c>
      <c r="L37">
        <v>1</v>
      </c>
      <c r="M37">
        <f t="shared" si="82"/>
        <v>7.4316290130796664E-5</v>
      </c>
      <c r="N37">
        <f t="shared" si="83"/>
        <v>7.5268104526989411E-5</v>
      </c>
      <c r="O37">
        <f t="shared" si="84"/>
        <v>8.6757192512776377E-3</v>
      </c>
      <c r="P37">
        <f t="shared" si="85"/>
        <v>7.4784699946013236</v>
      </c>
      <c r="Q37" s="8"/>
      <c r="R37" s="8">
        <v>1087</v>
      </c>
      <c r="S37">
        <v>92</v>
      </c>
      <c r="T37">
        <v>1</v>
      </c>
      <c r="U37">
        <f t="shared" si="86"/>
        <v>1.1814744801512286E-4</v>
      </c>
      <c r="V37">
        <f t="shared" si="87"/>
        <v>1.1909926241131561E-4</v>
      </c>
      <c r="W37">
        <f t="shared" si="88"/>
        <v>1.0913260851428212E-2</v>
      </c>
      <c r="X37">
        <f t="shared" si="89"/>
        <v>11.862714545502467</v>
      </c>
      <c r="Z37">
        <v>20.7</v>
      </c>
      <c r="AA37">
        <f t="shared" si="28"/>
        <v>7.5268104526989411E-5</v>
      </c>
      <c r="AB37">
        <f t="shared" si="29"/>
        <v>1.1909926241131562E-4</v>
      </c>
      <c r="AC37">
        <f t="shared" si="90"/>
        <v>1.9436736693830502E-4</v>
      </c>
      <c r="AD37">
        <f t="shared" si="91"/>
        <v>1.3941569744412035E-2</v>
      </c>
      <c r="AE37">
        <f t="shared" si="92"/>
        <v>0.2885904937093291</v>
      </c>
      <c r="AG37">
        <v>1.26</v>
      </c>
      <c r="AH37">
        <f t="shared" si="93"/>
        <v>7.5268104526989411E-5</v>
      </c>
      <c r="AI37">
        <f t="shared" si="94"/>
        <v>1.1909926241131562E-4</v>
      </c>
      <c r="AJ37">
        <f t="shared" si="95"/>
        <v>1.9436736693830502E-4</v>
      </c>
      <c r="AK37">
        <f t="shared" si="96"/>
        <v>1.3941569744412035E-2</v>
      </c>
      <c r="AL37">
        <f t="shared" si="97"/>
        <v>1.7566377877959165E-2</v>
      </c>
    </row>
    <row r="38" spans="1:38" x14ac:dyDescent="0.35">
      <c r="A38" s="32"/>
      <c r="B38">
        <v>5</v>
      </c>
      <c r="C38">
        <v>100</v>
      </c>
      <c r="D38">
        <v>0.1</v>
      </c>
      <c r="E38">
        <v>5</v>
      </c>
      <c r="F38">
        <v>0.1</v>
      </c>
      <c r="G38">
        <f>C38+E38</f>
        <v>105</v>
      </c>
      <c r="H38">
        <f t="shared" si="98"/>
        <v>9.0702947845804985E-7</v>
      </c>
      <c r="I38" s="8"/>
      <c r="J38">
        <v>806</v>
      </c>
      <c r="K38">
        <v>124</v>
      </c>
      <c r="L38">
        <v>1</v>
      </c>
      <c r="M38">
        <f t="shared" si="82"/>
        <v>6.5036420395421429E-5</v>
      </c>
      <c r="N38">
        <f t="shared" si="83"/>
        <v>6.5943449873879484E-5</v>
      </c>
      <c r="O38">
        <f t="shared" si="84"/>
        <v>8.1205572391234021E-3</v>
      </c>
      <c r="P38">
        <f t="shared" si="85"/>
        <v>6.5451691347334622</v>
      </c>
      <c r="Q38" s="8"/>
      <c r="R38" s="8">
        <v>1087</v>
      </c>
      <c r="S38">
        <v>92</v>
      </c>
      <c r="T38">
        <v>1</v>
      </c>
      <c r="U38">
        <f t="shared" si="86"/>
        <v>1.1814744801512286E-4</v>
      </c>
      <c r="V38">
        <f t="shared" si="87"/>
        <v>1.1905447749358092E-4</v>
      </c>
      <c r="W38">
        <f t="shared" si="88"/>
        <v>1.0911208800750763E-2</v>
      </c>
      <c r="X38">
        <f t="shared" si="89"/>
        <v>11.86048396641608</v>
      </c>
      <c r="Z38">
        <v>25.81</v>
      </c>
      <c r="AA38">
        <f t="shared" si="28"/>
        <v>6.5943449873879498E-5</v>
      </c>
      <c r="AB38">
        <f t="shared" si="29"/>
        <v>1.190544774935809E-4</v>
      </c>
      <c r="AC38">
        <f t="shared" si="90"/>
        <v>1.8499792736746039E-4</v>
      </c>
      <c r="AD38">
        <f t="shared" si="91"/>
        <v>1.3601394317034573E-2</v>
      </c>
      <c r="AE38">
        <f t="shared" si="92"/>
        <v>0.3510519873226623</v>
      </c>
      <c r="AG38">
        <v>1.35</v>
      </c>
      <c r="AH38">
        <f t="shared" si="93"/>
        <v>6.5943449873879498E-5</v>
      </c>
      <c r="AI38">
        <f t="shared" si="94"/>
        <v>1.190544774935809E-4</v>
      </c>
      <c r="AJ38">
        <f t="shared" si="95"/>
        <v>1.8499792736746039E-4</v>
      </c>
      <c r="AK38">
        <f t="shared" si="96"/>
        <v>1.3601394317034573E-2</v>
      </c>
      <c r="AL38">
        <f t="shared" si="97"/>
        <v>1.8361882327996674E-2</v>
      </c>
    </row>
    <row r="39" spans="1:38" x14ac:dyDescent="0.35">
      <c r="I39" s="8"/>
      <c r="Q39" s="8"/>
    </row>
    <row r="40" spans="1:38" x14ac:dyDescent="0.35">
      <c r="A40" s="32" t="s">
        <v>327</v>
      </c>
      <c r="B40">
        <v>0</v>
      </c>
      <c r="C40">
        <v>100</v>
      </c>
      <c r="D40">
        <v>0.1</v>
      </c>
      <c r="E40">
        <v>0</v>
      </c>
      <c r="F40">
        <v>0</v>
      </c>
      <c r="G40">
        <f>C40+E40</f>
        <v>100</v>
      </c>
      <c r="H40">
        <f>(D40/G40)^2</f>
        <v>9.9999999999999995E-7</v>
      </c>
      <c r="J40">
        <v>1380</v>
      </c>
      <c r="K40">
        <v>72.5</v>
      </c>
      <c r="L40">
        <v>1</v>
      </c>
      <c r="M40">
        <f t="shared" ref="M40:M44" si="99">(L40/K40)^2</f>
        <v>1.9024970273483948E-4</v>
      </c>
      <c r="N40">
        <f t="shared" ref="N40:N44" si="100">H40+M40</f>
        <v>1.9124970273483947E-4</v>
      </c>
      <c r="O40">
        <f t="shared" ref="O40:O44" si="101">SQRT(N40)</f>
        <v>1.3829305938290593E-2</v>
      </c>
      <c r="P40">
        <f t="shared" ref="P40:P44" si="102">J40*O40</f>
        <v>19.084442194841017</v>
      </c>
      <c r="Q40" s="8"/>
      <c r="R40" s="8">
        <v>1610</v>
      </c>
      <c r="S40">
        <v>62</v>
      </c>
      <c r="T40">
        <v>1</v>
      </c>
      <c r="U40">
        <f t="shared" ref="U40:U44" si="103">(T40/S40)^2</f>
        <v>2.6014568158168571E-4</v>
      </c>
      <c r="V40">
        <f t="shared" ref="V40:V44" si="104">H40+U40</f>
        <v>2.6114568158168574E-4</v>
      </c>
      <c r="W40">
        <f t="shared" ref="W40:W44" si="105">SQRT(V40)</f>
        <v>1.6160002524185625E-2</v>
      </c>
      <c r="X40">
        <f t="shared" ref="X40:X44" si="106">R40*W40</f>
        <v>26.017604063938858</v>
      </c>
      <c r="Z40">
        <v>14.28</v>
      </c>
      <c r="AA40">
        <f t="shared" si="28"/>
        <v>1.9124970273483945E-4</v>
      </c>
      <c r="AB40">
        <f t="shared" si="29"/>
        <v>2.6114568158168579E-4</v>
      </c>
      <c r="AC40">
        <f t="shared" ref="AC40:AC44" si="107">AA40+AB40</f>
        <v>4.5239538431652524E-4</v>
      </c>
      <c r="AD40">
        <f t="shared" ref="AD40:AD44" si="108">SQRT(AC40)</f>
        <v>2.1269588249811636E-2</v>
      </c>
      <c r="AE40">
        <f t="shared" ref="AE40:AE44" si="109">AD40*Z40</f>
        <v>0.30372972020731015</v>
      </c>
      <c r="AG40">
        <v>1.17</v>
      </c>
      <c r="AH40">
        <f t="shared" ref="AH40:AH44" si="110">(P40/J40)^2</f>
        <v>1.9124970273483945E-4</v>
      </c>
      <c r="AI40">
        <f t="shared" ref="AI40:AI44" si="111">(X40/R40)^2</f>
        <v>2.6114568158168579E-4</v>
      </c>
      <c r="AJ40">
        <f t="shared" ref="AJ40:AJ44" si="112">AH40+AI40</f>
        <v>4.5239538431652524E-4</v>
      </c>
      <c r="AK40">
        <f t="shared" ref="AK40:AK44" si="113">SQRT(AJ40)</f>
        <v>2.1269588249811636E-2</v>
      </c>
      <c r="AL40">
        <f t="shared" ref="AL40:AL44" si="114">AG40*AK40</f>
        <v>2.4885418252279613E-2</v>
      </c>
    </row>
    <row r="41" spans="1:38" x14ac:dyDescent="0.35">
      <c r="A41" s="32"/>
      <c r="B41">
        <v>0.5</v>
      </c>
      <c r="C41">
        <v>100</v>
      </c>
      <c r="D41">
        <v>0.1</v>
      </c>
      <c r="E41">
        <v>0.5</v>
      </c>
      <c r="F41">
        <v>0.1</v>
      </c>
      <c r="G41">
        <f>C41+E41</f>
        <v>100.5</v>
      </c>
      <c r="H41">
        <f t="shared" ref="H41:H44" si="115">(D41/G41)^2</f>
        <v>9.9007450310635896E-7</v>
      </c>
      <c r="J41">
        <v>1064</v>
      </c>
      <c r="K41">
        <v>94</v>
      </c>
      <c r="L41">
        <v>1</v>
      </c>
      <c r="M41">
        <f t="shared" si="99"/>
        <v>1.1317338162064282E-4</v>
      </c>
      <c r="N41">
        <f t="shared" si="100"/>
        <v>1.1416345612374919E-4</v>
      </c>
      <c r="O41">
        <f t="shared" si="101"/>
        <v>1.0684730044495706E-2</v>
      </c>
      <c r="P41">
        <f t="shared" si="102"/>
        <v>11.368552767343431</v>
      </c>
      <c r="Q41" s="17"/>
      <c r="R41" s="8">
        <v>1282</v>
      </c>
      <c r="S41">
        <v>78</v>
      </c>
      <c r="T41">
        <v>1</v>
      </c>
      <c r="U41">
        <f t="shared" si="103"/>
        <v>1.6436554898093358E-4</v>
      </c>
      <c r="V41">
        <f t="shared" si="104"/>
        <v>1.6535562348403993E-4</v>
      </c>
      <c r="W41">
        <f t="shared" si="105"/>
        <v>1.2859067753303111E-2</v>
      </c>
      <c r="X41">
        <f t="shared" si="106"/>
        <v>16.48532485973459</v>
      </c>
      <c r="Z41">
        <v>17.02</v>
      </c>
      <c r="AA41">
        <f t="shared" si="28"/>
        <v>1.141634561237492E-4</v>
      </c>
      <c r="AB41">
        <f t="shared" si="29"/>
        <v>1.6535562348403996E-4</v>
      </c>
      <c r="AC41">
        <f t="shared" si="107"/>
        <v>2.7951907960778916E-4</v>
      </c>
      <c r="AD41">
        <f t="shared" si="108"/>
        <v>1.6718824109601405E-2</v>
      </c>
      <c r="AE41">
        <f t="shared" si="109"/>
        <v>0.28455438634541591</v>
      </c>
      <c r="AG41">
        <v>1.21</v>
      </c>
      <c r="AH41">
        <f t="shared" si="110"/>
        <v>1.141634561237492E-4</v>
      </c>
      <c r="AI41">
        <f t="shared" si="111"/>
        <v>1.6535562348403996E-4</v>
      </c>
      <c r="AJ41">
        <f t="shared" si="112"/>
        <v>2.7951907960778916E-4</v>
      </c>
      <c r="AK41">
        <f t="shared" si="113"/>
        <v>1.6718824109601405E-2</v>
      </c>
      <c r="AL41">
        <f t="shared" si="114"/>
        <v>2.0229777172617699E-2</v>
      </c>
    </row>
    <row r="42" spans="1:38" x14ac:dyDescent="0.35">
      <c r="A42" s="32"/>
      <c r="B42">
        <v>1</v>
      </c>
      <c r="C42">
        <v>100</v>
      </c>
      <c r="D42">
        <v>0.1</v>
      </c>
      <c r="E42">
        <v>1</v>
      </c>
      <c r="F42">
        <v>0.1</v>
      </c>
      <c r="G42">
        <f>C42+E42</f>
        <v>101</v>
      </c>
      <c r="H42">
        <f t="shared" si="115"/>
        <v>9.802960494069209E-7</v>
      </c>
      <c r="J42">
        <v>877</v>
      </c>
      <c r="K42">
        <v>114</v>
      </c>
      <c r="L42">
        <v>1</v>
      </c>
      <c r="M42">
        <f t="shared" si="99"/>
        <v>7.6946752847029852E-5</v>
      </c>
      <c r="N42">
        <f t="shared" si="100"/>
        <v>7.7927048896436773E-5</v>
      </c>
      <c r="O42">
        <f t="shared" si="101"/>
        <v>8.8276298572400949E-3</v>
      </c>
      <c r="P42">
        <f t="shared" si="102"/>
        <v>7.7418313847995632</v>
      </c>
      <c r="R42" s="8">
        <v>1351</v>
      </c>
      <c r="S42">
        <v>74</v>
      </c>
      <c r="T42">
        <v>1</v>
      </c>
      <c r="U42">
        <f t="shared" si="103"/>
        <v>1.8261504747991238E-4</v>
      </c>
      <c r="V42">
        <f t="shared" si="104"/>
        <v>1.835953435293193E-4</v>
      </c>
      <c r="W42">
        <f t="shared" si="105"/>
        <v>1.3549735921017771E-2</v>
      </c>
      <c r="X42">
        <f t="shared" si="106"/>
        <v>18.305693229295009</v>
      </c>
      <c r="Z42">
        <v>35.08</v>
      </c>
      <c r="AA42">
        <f t="shared" si="28"/>
        <v>7.7927048896436773E-5</v>
      </c>
      <c r="AB42">
        <f t="shared" si="29"/>
        <v>1.835953435293193E-4</v>
      </c>
      <c r="AC42">
        <f t="shared" si="107"/>
        <v>2.615223924257561E-4</v>
      </c>
      <c r="AD42">
        <f t="shared" si="108"/>
        <v>1.617165397928598E-2</v>
      </c>
      <c r="AE42">
        <f t="shared" si="109"/>
        <v>0.56730162159335218</v>
      </c>
      <c r="AG42">
        <v>1.54</v>
      </c>
      <c r="AH42">
        <f t="shared" si="110"/>
        <v>7.7927048896436773E-5</v>
      </c>
      <c r="AI42">
        <f t="shared" si="111"/>
        <v>1.835953435293193E-4</v>
      </c>
      <c r="AJ42">
        <f t="shared" si="112"/>
        <v>2.615223924257561E-4</v>
      </c>
      <c r="AK42">
        <f t="shared" si="113"/>
        <v>1.617165397928598E-2</v>
      </c>
      <c r="AL42">
        <f t="shared" si="114"/>
        <v>2.4904347128100409E-2</v>
      </c>
    </row>
    <row r="43" spans="1:38" x14ac:dyDescent="0.35">
      <c r="A43" s="32"/>
      <c r="B43">
        <v>2.5</v>
      </c>
      <c r="C43">
        <v>100</v>
      </c>
      <c r="D43">
        <v>0.1</v>
      </c>
      <c r="E43">
        <v>2.5</v>
      </c>
      <c r="F43">
        <v>0.1</v>
      </c>
      <c r="G43">
        <f>C43+E43</f>
        <v>102.5</v>
      </c>
      <c r="H43">
        <f t="shared" si="115"/>
        <v>9.5181439619274262E-7</v>
      </c>
      <c r="J43">
        <v>926</v>
      </c>
      <c r="K43">
        <v>108</v>
      </c>
      <c r="L43">
        <v>1</v>
      </c>
      <c r="M43">
        <f t="shared" si="99"/>
        <v>8.573388203017832E-5</v>
      </c>
      <c r="N43">
        <f t="shared" si="100"/>
        <v>8.6685696426371068E-5</v>
      </c>
      <c r="O43">
        <f t="shared" si="101"/>
        <v>9.310515368462214E-3</v>
      </c>
      <c r="P43">
        <f t="shared" si="102"/>
        <v>8.6215372311960099</v>
      </c>
      <c r="Q43" s="8"/>
      <c r="R43" s="8">
        <v>1190</v>
      </c>
      <c r="S43">
        <v>84</v>
      </c>
      <c r="T43">
        <v>1</v>
      </c>
      <c r="U43">
        <f t="shared" si="103"/>
        <v>1.4172335600907027E-4</v>
      </c>
      <c r="V43">
        <f t="shared" si="104"/>
        <v>1.4267517040526302E-4</v>
      </c>
      <c r="W43">
        <f t="shared" si="105"/>
        <v>1.1944671213778261E-2</v>
      </c>
      <c r="X43">
        <f t="shared" si="106"/>
        <v>14.21415874439613</v>
      </c>
      <c r="Z43">
        <v>22.2</v>
      </c>
      <c r="AA43">
        <f t="shared" si="28"/>
        <v>8.6685696426371081E-5</v>
      </c>
      <c r="AB43">
        <f t="shared" si="29"/>
        <v>1.4267517040526305E-4</v>
      </c>
      <c r="AC43">
        <f t="shared" si="107"/>
        <v>2.2936086683163413E-4</v>
      </c>
      <c r="AD43">
        <f t="shared" si="108"/>
        <v>1.5144664632524358E-2</v>
      </c>
      <c r="AE43">
        <f t="shared" si="109"/>
        <v>0.33621155484204074</v>
      </c>
      <c r="AG43">
        <v>1.29</v>
      </c>
      <c r="AH43">
        <f t="shared" si="110"/>
        <v>8.6685696426371081E-5</v>
      </c>
      <c r="AI43">
        <f t="shared" si="111"/>
        <v>1.4267517040526305E-4</v>
      </c>
      <c r="AJ43">
        <f t="shared" si="112"/>
        <v>2.2936086683163413E-4</v>
      </c>
      <c r="AK43">
        <f t="shared" si="113"/>
        <v>1.5144664632524358E-2</v>
      </c>
      <c r="AL43">
        <f t="shared" si="114"/>
        <v>1.9536617375956421E-2</v>
      </c>
    </row>
    <row r="44" spans="1:38" x14ac:dyDescent="0.35">
      <c r="A44" s="32"/>
      <c r="B44">
        <v>5</v>
      </c>
      <c r="C44">
        <v>100</v>
      </c>
      <c r="D44">
        <v>0.1</v>
      </c>
      <c r="E44">
        <v>5</v>
      </c>
      <c r="F44">
        <v>0.1</v>
      </c>
      <c r="G44">
        <f>C44+E44</f>
        <v>105</v>
      </c>
      <c r="H44">
        <f t="shared" si="115"/>
        <v>9.0702947845804985E-7</v>
      </c>
      <c r="I44" s="8"/>
      <c r="J44">
        <v>909</v>
      </c>
      <c r="K44">
        <v>110</v>
      </c>
      <c r="L44">
        <v>1</v>
      </c>
      <c r="M44">
        <f t="shared" si="99"/>
        <v>8.2644628099173546E-5</v>
      </c>
      <c r="N44">
        <f t="shared" si="100"/>
        <v>8.3551657577631602E-5</v>
      </c>
      <c r="O44">
        <f t="shared" si="101"/>
        <v>9.1406595811041776E-3</v>
      </c>
      <c r="P44">
        <f t="shared" si="102"/>
        <v>8.3088595592236967</v>
      </c>
      <c r="Q44" s="17"/>
      <c r="R44" s="8">
        <v>1111</v>
      </c>
      <c r="S44">
        <v>90</v>
      </c>
      <c r="T44">
        <v>1</v>
      </c>
      <c r="U44">
        <f t="shared" si="103"/>
        <v>1.2345679012345679E-4</v>
      </c>
      <c r="V44">
        <f t="shared" si="104"/>
        <v>1.2436381960191485E-4</v>
      </c>
      <c r="W44">
        <f t="shared" si="105"/>
        <v>1.115185274301606E-2</v>
      </c>
      <c r="X44">
        <f t="shared" si="106"/>
        <v>12.389708397490843</v>
      </c>
      <c r="Z44">
        <v>18.18</v>
      </c>
      <c r="AA44">
        <f t="shared" si="28"/>
        <v>8.3551657577631602E-5</v>
      </c>
      <c r="AB44">
        <f t="shared" si="29"/>
        <v>1.2436381960191482E-4</v>
      </c>
      <c r="AC44">
        <f t="shared" si="107"/>
        <v>2.0791547717954642E-4</v>
      </c>
      <c r="AD44">
        <f t="shared" si="108"/>
        <v>1.4419274502538137E-2</v>
      </c>
      <c r="AE44">
        <f t="shared" si="109"/>
        <v>0.26214241045614334</v>
      </c>
      <c r="AG44">
        <v>1.22</v>
      </c>
      <c r="AH44">
        <f t="shared" si="110"/>
        <v>8.3551657577631602E-5</v>
      </c>
      <c r="AI44">
        <f t="shared" si="111"/>
        <v>1.2436381960191482E-4</v>
      </c>
      <c r="AJ44">
        <f t="shared" si="112"/>
        <v>2.0791547717954642E-4</v>
      </c>
      <c r="AK44">
        <f t="shared" si="113"/>
        <v>1.4419274502538137E-2</v>
      </c>
      <c r="AL44">
        <f t="shared" si="114"/>
        <v>1.7591514893096526E-2</v>
      </c>
    </row>
    <row r="45" spans="1:38" x14ac:dyDescent="0.35">
      <c r="I45" s="17"/>
      <c r="Q45" s="8"/>
    </row>
    <row r="46" spans="1:38" x14ac:dyDescent="0.35">
      <c r="A46" s="32" t="s">
        <v>10</v>
      </c>
      <c r="B46">
        <v>0</v>
      </c>
      <c r="C46">
        <v>100</v>
      </c>
      <c r="D46">
        <v>0.1</v>
      </c>
      <c r="E46">
        <v>0</v>
      </c>
      <c r="F46">
        <v>0</v>
      </c>
      <c r="G46">
        <f>C46+E46</f>
        <v>100</v>
      </c>
      <c r="H46">
        <f>(D46/G46)^2</f>
        <v>9.9999999999999995E-7</v>
      </c>
      <c r="I46" s="8"/>
      <c r="J46">
        <v>804</v>
      </c>
      <c r="K46">
        <v>124</v>
      </c>
      <c r="L46">
        <v>1</v>
      </c>
      <c r="M46">
        <f t="shared" ref="M46:M50" si="116">(L46/K46)^2</f>
        <v>6.5036420395421429E-5</v>
      </c>
      <c r="N46">
        <f t="shared" ref="N46:N50" si="117">H46+M46</f>
        <v>6.6036420395421426E-5</v>
      </c>
      <c r="O46">
        <f t="shared" ref="O46:O50" si="118">SQRT(N46)</f>
        <v>8.1262796158772087E-3</v>
      </c>
      <c r="P46">
        <f t="shared" ref="P46:P50" si="119">J46*O46</f>
        <v>6.5335288111652758</v>
      </c>
      <c r="Q46" s="8"/>
      <c r="R46" s="8">
        <v>920</v>
      </c>
      <c r="S46">
        <v>109</v>
      </c>
      <c r="T46">
        <v>1</v>
      </c>
      <c r="U46">
        <f t="shared" ref="U46:U50" si="120">(T46/S46)^2</f>
        <v>8.4167999326656008E-5</v>
      </c>
      <c r="V46">
        <f t="shared" ref="V46:V50" si="121">H46+U46</f>
        <v>8.5167999326656005E-5</v>
      </c>
      <c r="W46">
        <f t="shared" ref="W46:W50" si="122">SQRT(V46)</f>
        <v>9.2286510025385623E-3</v>
      </c>
      <c r="X46">
        <f t="shared" ref="X46:X50" si="123">R46*W46</f>
        <v>8.4903589223354778</v>
      </c>
      <c r="Z46">
        <v>12.6</v>
      </c>
      <c r="AA46">
        <f t="shared" si="28"/>
        <v>6.6036420395421439E-5</v>
      </c>
      <c r="AB46">
        <f t="shared" si="29"/>
        <v>8.5167999326656005E-5</v>
      </c>
      <c r="AC46">
        <f t="shared" ref="AC46:AC50" si="124">AA46+AB46</f>
        <v>1.5120441972207746E-4</v>
      </c>
      <c r="AD46">
        <f t="shared" ref="AD46:AD50" si="125">SQRT(AC46)</f>
        <v>1.229652063480062E-2</v>
      </c>
      <c r="AE46">
        <f t="shared" ref="AE46:AE50" si="126">AD46*Z46</f>
        <v>0.15493615999848781</v>
      </c>
      <c r="AG46">
        <v>1.1399999999999999</v>
      </c>
      <c r="AH46">
        <f t="shared" ref="AH46:AH50" si="127">(P46/J46)^2</f>
        <v>6.6036420395421439E-5</v>
      </c>
      <c r="AI46">
        <f t="shared" ref="AI46:AI50" si="128">(X46/R46)^2</f>
        <v>8.5167999326656005E-5</v>
      </c>
      <c r="AJ46">
        <f t="shared" ref="AJ46:AJ50" si="129">AH46+AI46</f>
        <v>1.5120441972207746E-4</v>
      </c>
      <c r="AK46">
        <f t="shared" ref="AK46:AK50" si="130">SQRT(AJ46)</f>
        <v>1.229652063480062E-2</v>
      </c>
      <c r="AL46">
        <f t="shared" ref="AL46:AL50" si="131">AG46*AK46</f>
        <v>1.4018033523672705E-2</v>
      </c>
    </row>
    <row r="47" spans="1:38" x14ac:dyDescent="0.35">
      <c r="A47" s="32"/>
      <c r="B47">
        <v>0.5</v>
      </c>
      <c r="C47">
        <v>100</v>
      </c>
      <c r="D47">
        <v>0.1</v>
      </c>
      <c r="E47">
        <v>0.5</v>
      </c>
      <c r="F47">
        <v>0.1</v>
      </c>
      <c r="G47">
        <f>C47+E47</f>
        <v>100.5</v>
      </c>
      <c r="H47">
        <f t="shared" ref="H47:H50" si="132">(D47/G47)^2</f>
        <v>9.9007450310635896E-7</v>
      </c>
      <c r="I47" s="8"/>
      <c r="J47">
        <v>781</v>
      </c>
      <c r="K47">
        <v>128</v>
      </c>
      <c r="L47">
        <v>1</v>
      </c>
      <c r="M47">
        <f t="shared" si="116"/>
        <v>6.103515625E-5</v>
      </c>
      <c r="N47">
        <f t="shared" si="117"/>
        <v>6.2025230753106364E-5</v>
      </c>
      <c r="O47">
        <f t="shared" si="118"/>
        <v>7.8756098654711414E-3</v>
      </c>
      <c r="P47">
        <f t="shared" si="119"/>
        <v>6.1508513049329618</v>
      </c>
      <c r="Q47" s="8"/>
      <c r="R47" s="8">
        <v>909</v>
      </c>
      <c r="S47">
        <v>110</v>
      </c>
      <c r="T47">
        <v>1</v>
      </c>
      <c r="U47">
        <f t="shared" si="120"/>
        <v>8.2644628099173546E-5</v>
      </c>
      <c r="V47">
        <f t="shared" si="121"/>
        <v>8.363470260227991E-5</v>
      </c>
      <c r="W47">
        <f t="shared" si="122"/>
        <v>9.145201069538051E-3</v>
      </c>
      <c r="X47">
        <f t="shared" si="123"/>
        <v>8.3129877722100876</v>
      </c>
      <c r="Z47">
        <v>14.06</v>
      </c>
      <c r="AA47">
        <f t="shared" si="28"/>
        <v>6.2025230753106364E-5</v>
      </c>
      <c r="AB47">
        <f t="shared" si="29"/>
        <v>8.3634702602279883E-5</v>
      </c>
      <c r="AC47">
        <f t="shared" si="124"/>
        <v>1.4565993335538625E-4</v>
      </c>
      <c r="AD47">
        <f t="shared" si="125"/>
        <v>1.206896571191526E-2</v>
      </c>
      <c r="AE47">
        <f t="shared" si="126"/>
        <v>0.16968965790952856</v>
      </c>
      <c r="AG47">
        <v>1.1599999999999999</v>
      </c>
      <c r="AH47">
        <f t="shared" si="127"/>
        <v>6.2025230753106364E-5</v>
      </c>
      <c r="AI47">
        <f t="shared" si="128"/>
        <v>8.3634702602279883E-5</v>
      </c>
      <c r="AJ47">
        <f t="shared" si="129"/>
        <v>1.4565993335538625E-4</v>
      </c>
      <c r="AK47">
        <f t="shared" si="130"/>
        <v>1.206896571191526E-2</v>
      </c>
      <c r="AL47">
        <f t="shared" si="131"/>
        <v>1.40000002258217E-2</v>
      </c>
    </row>
    <row r="48" spans="1:38" x14ac:dyDescent="0.35">
      <c r="A48" s="32"/>
      <c r="B48">
        <v>1</v>
      </c>
      <c r="C48">
        <v>100</v>
      </c>
      <c r="D48">
        <v>0.1</v>
      </c>
      <c r="E48">
        <v>1</v>
      </c>
      <c r="F48">
        <v>0.1</v>
      </c>
      <c r="G48">
        <f>C48+E48</f>
        <v>101</v>
      </c>
      <c r="H48">
        <f t="shared" si="132"/>
        <v>9.802960494069209E-7</v>
      </c>
      <c r="I48" s="8"/>
      <c r="J48">
        <v>714</v>
      </c>
      <c r="K48">
        <v>140</v>
      </c>
      <c r="L48">
        <v>1</v>
      </c>
      <c r="M48">
        <f t="shared" si="116"/>
        <v>5.1020408163265301E-5</v>
      </c>
      <c r="N48">
        <f t="shared" si="117"/>
        <v>5.2000704212672222E-5</v>
      </c>
      <c r="O48">
        <f t="shared" si="118"/>
        <v>7.2111513791260975E-3</v>
      </c>
      <c r="P48">
        <f t="shared" si="119"/>
        <v>5.1487620846960338</v>
      </c>
      <c r="Q48" s="8"/>
      <c r="R48" s="8">
        <v>909</v>
      </c>
      <c r="S48">
        <v>110</v>
      </c>
      <c r="T48">
        <v>1</v>
      </c>
      <c r="U48">
        <f t="shared" si="120"/>
        <v>8.2644628099173546E-5</v>
      </c>
      <c r="V48">
        <f t="shared" si="121"/>
        <v>8.3624924148580467E-5</v>
      </c>
      <c r="W48">
        <f t="shared" si="122"/>
        <v>9.1446664317830894E-3</v>
      </c>
      <c r="X48">
        <f t="shared" si="123"/>
        <v>8.312501786490829</v>
      </c>
      <c r="Z48">
        <v>21.43</v>
      </c>
      <c r="AA48">
        <f t="shared" si="28"/>
        <v>5.2000704212672222E-5</v>
      </c>
      <c r="AB48">
        <f t="shared" si="29"/>
        <v>8.3624924148580467E-5</v>
      </c>
      <c r="AC48">
        <f t="shared" si="124"/>
        <v>1.3562562836125268E-4</v>
      </c>
      <c r="AD48">
        <f t="shared" si="125"/>
        <v>1.1645841676806906E-2</v>
      </c>
      <c r="AE48">
        <f t="shared" si="126"/>
        <v>0.249570387133972</v>
      </c>
      <c r="AG48">
        <v>1.27</v>
      </c>
      <c r="AH48">
        <f t="shared" si="127"/>
        <v>5.2000704212672222E-5</v>
      </c>
      <c r="AI48">
        <f t="shared" si="128"/>
        <v>8.3624924148580467E-5</v>
      </c>
      <c r="AJ48">
        <f t="shared" si="129"/>
        <v>1.3562562836125268E-4</v>
      </c>
      <c r="AK48">
        <f t="shared" si="130"/>
        <v>1.1645841676806906E-2</v>
      </c>
      <c r="AL48">
        <f t="shared" si="131"/>
        <v>1.4790218929544772E-2</v>
      </c>
    </row>
    <row r="49" spans="1:38" x14ac:dyDescent="0.35">
      <c r="A49" s="32"/>
      <c r="B49">
        <v>2.5</v>
      </c>
      <c r="C49">
        <v>100</v>
      </c>
      <c r="D49">
        <v>0.1</v>
      </c>
      <c r="E49">
        <v>2.5</v>
      </c>
      <c r="F49">
        <v>0.1</v>
      </c>
      <c r="G49">
        <f>C49+E49</f>
        <v>102.5</v>
      </c>
      <c r="H49">
        <f t="shared" si="132"/>
        <v>9.5181439619274262E-7</v>
      </c>
      <c r="I49" s="17"/>
      <c r="J49">
        <v>667</v>
      </c>
      <c r="K49">
        <v>150</v>
      </c>
      <c r="L49">
        <v>1</v>
      </c>
      <c r="M49">
        <f t="shared" si="116"/>
        <v>4.4444444444444453E-5</v>
      </c>
      <c r="N49">
        <f t="shared" si="117"/>
        <v>4.5396258840637194E-5</v>
      </c>
      <c r="O49">
        <f t="shared" si="118"/>
        <v>6.7376745870246059E-3</v>
      </c>
      <c r="P49">
        <f t="shared" si="119"/>
        <v>4.4940289495454122</v>
      </c>
      <c r="R49" s="8">
        <v>794</v>
      </c>
      <c r="S49">
        <v>126</v>
      </c>
      <c r="T49">
        <v>1</v>
      </c>
      <c r="U49">
        <f t="shared" si="120"/>
        <v>6.2988158226253457E-5</v>
      </c>
      <c r="V49">
        <f t="shared" si="121"/>
        <v>6.3939972622446204E-5</v>
      </c>
      <c r="W49">
        <f t="shared" si="122"/>
        <v>7.9962474087815847E-3</v>
      </c>
      <c r="X49">
        <f t="shared" si="123"/>
        <v>6.349020442572578</v>
      </c>
      <c r="Z49">
        <v>16</v>
      </c>
      <c r="AA49">
        <f t="shared" si="28"/>
        <v>4.5396258840637194E-5</v>
      </c>
      <c r="AB49">
        <f t="shared" si="29"/>
        <v>6.3939972622446204E-5</v>
      </c>
      <c r="AC49">
        <f t="shared" si="124"/>
        <v>1.093362314630834E-4</v>
      </c>
      <c r="AD49">
        <f t="shared" si="125"/>
        <v>1.0456396676823397E-2</v>
      </c>
      <c r="AE49">
        <f t="shared" si="126"/>
        <v>0.16730234682917436</v>
      </c>
      <c r="AG49">
        <v>1.19</v>
      </c>
      <c r="AH49">
        <f t="shared" si="127"/>
        <v>4.5396258840637194E-5</v>
      </c>
      <c r="AI49">
        <f t="shared" si="128"/>
        <v>6.3939972622446204E-5</v>
      </c>
      <c r="AJ49">
        <f t="shared" si="129"/>
        <v>1.093362314630834E-4</v>
      </c>
      <c r="AK49">
        <f t="shared" si="130"/>
        <v>1.0456396676823397E-2</v>
      </c>
      <c r="AL49">
        <f t="shared" si="131"/>
        <v>1.2443112045419842E-2</v>
      </c>
    </row>
    <row r="50" spans="1:38" x14ac:dyDescent="0.35">
      <c r="A50" s="32"/>
      <c r="B50">
        <v>5</v>
      </c>
      <c r="C50">
        <v>100</v>
      </c>
      <c r="D50">
        <v>0.1</v>
      </c>
      <c r="E50">
        <v>5</v>
      </c>
      <c r="F50">
        <v>0.1</v>
      </c>
      <c r="G50">
        <f>C50+E50</f>
        <v>105</v>
      </c>
      <c r="H50">
        <f t="shared" si="132"/>
        <v>9.0702947845804985E-7</v>
      </c>
      <c r="I50" s="8"/>
      <c r="J50">
        <v>595</v>
      </c>
      <c r="K50">
        <v>168</v>
      </c>
      <c r="L50">
        <v>1</v>
      </c>
      <c r="M50">
        <f t="shared" si="116"/>
        <v>3.5430839002267568E-5</v>
      </c>
      <c r="N50">
        <f t="shared" si="117"/>
        <v>3.6337868480725617E-5</v>
      </c>
      <c r="O50">
        <f t="shared" si="118"/>
        <v>6.0280899529391247E-3</v>
      </c>
      <c r="P50">
        <f t="shared" si="119"/>
        <v>3.5867135219987794</v>
      </c>
      <c r="R50" s="8">
        <v>769</v>
      </c>
      <c r="S50">
        <v>130</v>
      </c>
      <c r="T50">
        <v>1</v>
      </c>
      <c r="U50">
        <f t="shared" si="120"/>
        <v>5.9171597633136101E-5</v>
      </c>
      <c r="V50">
        <f t="shared" si="121"/>
        <v>6.007862711159415E-5</v>
      </c>
      <c r="W50">
        <f t="shared" si="122"/>
        <v>7.7510403889796721E-3</v>
      </c>
      <c r="X50">
        <f t="shared" si="123"/>
        <v>5.9605500591253682</v>
      </c>
      <c r="Z50">
        <v>22.62</v>
      </c>
      <c r="AA50">
        <f t="shared" si="28"/>
        <v>3.6337868480725617E-5</v>
      </c>
      <c r="AB50">
        <f t="shared" si="29"/>
        <v>6.007862711159415E-5</v>
      </c>
      <c r="AC50">
        <f t="shared" si="124"/>
        <v>9.6416495592319766E-5</v>
      </c>
      <c r="AD50">
        <f t="shared" si="125"/>
        <v>9.8191901698826342E-3</v>
      </c>
      <c r="AE50">
        <f t="shared" si="126"/>
        <v>0.22211008164274521</v>
      </c>
      <c r="AG50">
        <v>1.29</v>
      </c>
      <c r="AH50">
        <f t="shared" si="127"/>
        <v>3.6337868480725617E-5</v>
      </c>
      <c r="AI50">
        <f t="shared" si="128"/>
        <v>6.007862711159415E-5</v>
      </c>
      <c r="AJ50">
        <f t="shared" si="129"/>
        <v>9.6416495592319766E-5</v>
      </c>
      <c r="AK50">
        <f t="shared" si="130"/>
        <v>9.8191901698826342E-3</v>
      </c>
      <c r="AL50">
        <f t="shared" si="131"/>
        <v>1.2666755319148598E-2</v>
      </c>
    </row>
    <row r="51" spans="1:38" x14ac:dyDescent="0.35">
      <c r="I51" s="8"/>
      <c r="Q51" s="8"/>
    </row>
    <row r="52" spans="1:38" x14ac:dyDescent="0.35">
      <c r="A52" s="32" t="s">
        <v>328</v>
      </c>
      <c r="B52">
        <v>0</v>
      </c>
      <c r="C52">
        <v>100</v>
      </c>
      <c r="D52">
        <v>0.1</v>
      </c>
      <c r="E52">
        <v>0</v>
      </c>
      <c r="F52">
        <v>0</v>
      </c>
      <c r="G52">
        <f>C52+E52</f>
        <v>100</v>
      </c>
      <c r="H52">
        <f>(D52/G52)^2</f>
        <v>9.9999999999999995E-7</v>
      </c>
      <c r="I52" s="8"/>
      <c r="J52">
        <v>1320</v>
      </c>
      <c r="K52">
        <v>72</v>
      </c>
      <c r="L52">
        <v>1</v>
      </c>
      <c r="M52">
        <f t="shared" ref="M52:M56" si="133">(L52/K52)^2</f>
        <v>1.9290123456790122E-4</v>
      </c>
      <c r="N52">
        <f t="shared" ref="N52:N56" si="134">H52+M52</f>
        <v>1.9390123456790122E-4</v>
      </c>
      <c r="O52">
        <f t="shared" ref="O52:O56" si="135">SQRT(N52)</f>
        <v>1.3924842353430836E-2</v>
      </c>
      <c r="P52">
        <f t="shared" ref="P52:P56" si="136">J52*O52</f>
        <v>18.380791906528703</v>
      </c>
      <c r="Q52" s="17"/>
      <c r="R52" s="8">
        <v>1420</v>
      </c>
      <c r="S52">
        <v>71</v>
      </c>
      <c r="T52">
        <v>1</v>
      </c>
      <c r="U52">
        <f t="shared" ref="U52:U56" si="137">(T52/S52)^2</f>
        <v>1.9837333862328903E-4</v>
      </c>
      <c r="V52">
        <f t="shared" ref="V52:V56" si="138">H52+U52</f>
        <v>1.9937333862328903E-4</v>
      </c>
      <c r="W52">
        <f t="shared" ref="W52:W56" si="139">SQRT(V52)</f>
        <v>1.4119962415788827E-2</v>
      </c>
      <c r="X52">
        <f t="shared" ref="X52:X56" si="140">R52*W52</f>
        <v>20.050346630420133</v>
      </c>
      <c r="Z52">
        <v>6.59</v>
      </c>
      <c r="AA52">
        <f t="shared" si="28"/>
        <v>1.9390123456790125E-4</v>
      </c>
      <c r="AB52">
        <f t="shared" si="29"/>
        <v>1.9937333862328905E-4</v>
      </c>
      <c r="AC52">
        <f t="shared" ref="AC52:AC56" si="141">AA52+AB52</f>
        <v>3.932745731911903E-4</v>
      </c>
      <c r="AD52">
        <f t="shared" ref="AD52:AD56" si="142">SQRT(AC52)</f>
        <v>1.9831151585099398E-2</v>
      </c>
      <c r="AE52">
        <f t="shared" ref="AE52:AE56" si="143">AD52*Z52</f>
        <v>0.13068728894580503</v>
      </c>
      <c r="AG52">
        <v>1.07</v>
      </c>
      <c r="AH52">
        <f t="shared" ref="AH52:AH56" si="144">(P52/J52)^2</f>
        <v>1.9390123456790125E-4</v>
      </c>
      <c r="AI52">
        <f t="shared" ref="AI52:AI56" si="145">(X52/R52)^2</f>
        <v>1.9937333862328905E-4</v>
      </c>
      <c r="AJ52">
        <f t="shared" ref="AJ52:AJ56" si="146">AH52+AI52</f>
        <v>3.932745731911903E-4</v>
      </c>
      <c r="AK52">
        <f t="shared" ref="AK52:AK56" si="147">SQRT(AJ52)</f>
        <v>1.9831151585099398E-2</v>
      </c>
      <c r="AL52">
        <f t="shared" ref="AL52:AL56" si="148">AG52*AK52</f>
        <v>2.1219332196056356E-2</v>
      </c>
    </row>
    <row r="53" spans="1:38" x14ac:dyDescent="0.35">
      <c r="A53" s="32"/>
      <c r="B53">
        <v>0.5</v>
      </c>
      <c r="C53">
        <v>100</v>
      </c>
      <c r="D53">
        <v>0.1</v>
      </c>
      <c r="E53">
        <v>0.5</v>
      </c>
      <c r="F53">
        <v>0.1</v>
      </c>
      <c r="G53">
        <f>C53+E53</f>
        <v>100.5</v>
      </c>
      <c r="H53">
        <f t="shared" ref="H53:H56" si="149">(D53/G53)^2</f>
        <v>9.9007450310635896E-7</v>
      </c>
      <c r="I53" s="8"/>
      <c r="J53">
        <v>1000</v>
      </c>
      <c r="K53">
        <v>100</v>
      </c>
      <c r="L53">
        <v>1</v>
      </c>
      <c r="M53">
        <f t="shared" si="133"/>
        <v>1E-4</v>
      </c>
      <c r="N53">
        <f t="shared" si="134"/>
        <v>1.0099007450310637E-4</v>
      </c>
      <c r="O53">
        <f t="shared" si="135"/>
        <v>1.0049381797061269E-2</v>
      </c>
      <c r="P53">
        <f t="shared" si="136"/>
        <v>10.049381797061269</v>
      </c>
      <c r="Q53" s="8"/>
      <c r="R53" s="8">
        <v>1163</v>
      </c>
      <c r="S53">
        <v>86</v>
      </c>
      <c r="T53">
        <v>1</v>
      </c>
      <c r="U53">
        <f t="shared" si="137"/>
        <v>1.352082206598161E-4</v>
      </c>
      <c r="V53">
        <f t="shared" si="138"/>
        <v>1.3619829516292245E-4</v>
      </c>
      <c r="W53">
        <f t="shared" si="139"/>
        <v>1.1670402527887478E-2</v>
      </c>
      <c r="X53">
        <f t="shared" si="140"/>
        <v>13.572678139933137</v>
      </c>
      <c r="Z53">
        <v>14</v>
      </c>
      <c r="AA53">
        <f t="shared" si="28"/>
        <v>1.0099007450310638E-4</v>
      </c>
      <c r="AB53">
        <f t="shared" si="29"/>
        <v>1.3619829516292245E-4</v>
      </c>
      <c r="AC53">
        <f t="shared" si="141"/>
        <v>2.3718836966602885E-4</v>
      </c>
      <c r="AD53">
        <f t="shared" si="142"/>
        <v>1.5400921065508675E-2</v>
      </c>
      <c r="AE53">
        <f t="shared" si="143"/>
        <v>0.21561289491712143</v>
      </c>
      <c r="AG53">
        <v>1.1599999999999999</v>
      </c>
      <c r="AH53">
        <f t="shared" si="144"/>
        <v>1.0099007450310638E-4</v>
      </c>
      <c r="AI53">
        <f t="shared" si="145"/>
        <v>1.3619829516292245E-4</v>
      </c>
      <c r="AJ53">
        <f t="shared" si="146"/>
        <v>2.3718836966602885E-4</v>
      </c>
      <c r="AK53">
        <f t="shared" si="147"/>
        <v>1.5400921065508675E-2</v>
      </c>
      <c r="AL53">
        <f t="shared" si="148"/>
        <v>1.7865068435990061E-2</v>
      </c>
    </row>
    <row r="54" spans="1:38" x14ac:dyDescent="0.35">
      <c r="A54" s="32"/>
      <c r="B54">
        <v>1</v>
      </c>
      <c r="C54">
        <v>100</v>
      </c>
      <c r="D54">
        <v>0.1</v>
      </c>
      <c r="E54">
        <v>1</v>
      </c>
      <c r="F54">
        <v>0.1</v>
      </c>
      <c r="G54">
        <f>C54+E54</f>
        <v>101</v>
      </c>
      <c r="H54">
        <f t="shared" si="149"/>
        <v>9.802960494069209E-7</v>
      </c>
      <c r="I54" s="17"/>
      <c r="J54">
        <v>1000</v>
      </c>
      <c r="K54">
        <v>100</v>
      </c>
      <c r="L54">
        <v>1</v>
      </c>
      <c r="M54">
        <f t="shared" si="133"/>
        <v>1E-4</v>
      </c>
      <c r="N54">
        <f t="shared" si="134"/>
        <v>1.0098029604940693E-4</v>
      </c>
      <c r="O54">
        <f t="shared" si="135"/>
        <v>1.0048895265122775E-2</v>
      </c>
      <c r="P54">
        <f t="shared" si="136"/>
        <v>10.048895265122775</v>
      </c>
      <c r="Q54" s="17"/>
      <c r="R54" s="8">
        <v>1124</v>
      </c>
      <c r="S54">
        <v>89</v>
      </c>
      <c r="T54">
        <v>1</v>
      </c>
      <c r="U54">
        <f t="shared" si="137"/>
        <v>1.2624668602449185E-4</v>
      </c>
      <c r="V54">
        <f t="shared" si="138"/>
        <v>1.2722698207389877E-4</v>
      </c>
      <c r="W54">
        <f t="shared" si="139"/>
        <v>1.1279493874899653E-2</v>
      </c>
      <c r="X54">
        <f t="shared" si="140"/>
        <v>12.678151115387209</v>
      </c>
      <c r="Z54">
        <v>11</v>
      </c>
      <c r="AA54">
        <f t="shared" si="28"/>
        <v>1.0098029604940693E-4</v>
      </c>
      <c r="AB54">
        <f t="shared" si="29"/>
        <v>1.2722698207389877E-4</v>
      </c>
      <c r="AC54">
        <f t="shared" si="141"/>
        <v>2.2820727812330571E-4</v>
      </c>
      <c r="AD54">
        <f t="shared" si="142"/>
        <v>1.5106530975816575E-2</v>
      </c>
      <c r="AE54">
        <f t="shared" si="143"/>
        <v>0.16617184073398233</v>
      </c>
      <c r="AG54">
        <v>1.1200000000000001</v>
      </c>
      <c r="AH54">
        <f t="shared" si="144"/>
        <v>1.0098029604940693E-4</v>
      </c>
      <c r="AI54">
        <f t="shared" si="145"/>
        <v>1.2722698207389877E-4</v>
      </c>
      <c r="AJ54">
        <f t="shared" si="146"/>
        <v>2.2820727812330571E-4</v>
      </c>
      <c r="AK54">
        <f t="shared" si="147"/>
        <v>1.5106530975816575E-2</v>
      </c>
      <c r="AL54">
        <f t="shared" si="148"/>
        <v>1.6919314692914567E-2</v>
      </c>
    </row>
    <row r="55" spans="1:38" x14ac:dyDescent="0.35">
      <c r="A55" s="32"/>
      <c r="B55">
        <v>2.5</v>
      </c>
      <c r="C55">
        <v>100</v>
      </c>
      <c r="D55">
        <v>0.1</v>
      </c>
      <c r="E55">
        <v>2.5</v>
      </c>
      <c r="F55">
        <v>0.1</v>
      </c>
      <c r="G55">
        <f>C55+E55</f>
        <v>102.5</v>
      </c>
      <c r="H55">
        <f t="shared" si="149"/>
        <v>9.5181439619274262E-7</v>
      </c>
      <c r="I55" s="8"/>
      <c r="J55">
        <v>926</v>
      </c>
      <c r="K55">
        <v>108</v>
      </c>
      <c r="L55">
        <v>1</v>
      </c>
      <c r="M55">
        <f t="shared" si="133"/>
        <v>8.573388203017832E-5</v>
      </c>
      <c r="N55">
        <f t="shared" si="134"/>
        <v>8.6685696426371068E-5</v>
      </c>
      <c r="O55">
        <f t="shared" si="135"/>
        <v>9.310515368462214E-3</v>
      </c>
      <c r="P55">
        <f t="shared" si="136"/>
        <v>8.6215372311960099</v>
      </c>
      <c r="Q55" s="8"/>
      <c r="R55" s="8">
        <v>1042</v>
      </c>
      <c r="S55">
        <v>96</v>
      </c>
      <c r="T55">
        <v>1</v>
      </c>
      <c r="U55">
        <f t="shared" si="137"/>
        <v>1.0850694444444444E-4</v>
      </c>
      <c r="V55">
        <f t="shared" si="138"/>
        <v>1.0945875884063719E-4</v>
      </c>
      <c r="W55">
        <f t="shared" si="139"/>
        <v>1.0462254003829059E-2</v>
      </c>
      <c r="X55">
        <f t="shared" si="140"/>
        <v>10.90166867198988</v>
      </c>
      <c r="Z55">
        <v>11.1</v>
      </c>
      <c r="AA55">
        <f t="shared" si="28"/>
        <v>8.6685696426371081E-5</v>
      </c>
      <c r="AB55">
        <f t="shared" si="29"/>
        <v>1.0945875884063719E-4</v>
      </c>
      <c r="AC55">
        <f t="shared" si="141"/>
        <v>1.9614445526700827E-4</v>
      </c>
      <c r="AD55">
        <f t="shared" si="142"/>
        <v>1.4005158166440259E-2</v>
      </c>
      <c r="AE55">
        <f t="shared" si="143"/>
        <v>0.15545725564748689</v>
      </c>
      <c r="AG55">
        <v>1.23</v>
      </c>
      <c r="AH55">
        <f t="shared" si="144"/>
        <v>8.6685696426371081E-5</v>
      </c>
      <c r="AI55">
        <f t="shared" si="145"/>
        <v>1.0945875884063719E-4</v>
      </c>
      <c r="AJ55">
        <f t="shared" si="146"/>
        <v>1.9614445526700827E-4</v>
      </c>
      <c r="AK55">
        <f t="shared" si="147"/>
        <v>1.4005158166440259E-2</v>
      </c>
      <c r="AL55">
        <f t="shared" si="148"/>
        <v>1.7226344544721519E-2</v>
      </c>
    </row>
    <row r="56" spans="1:38" x14ac:dyDescent="0.35">
      <c r="A56" s="32"/>
      <c r="B56">
        <v>5</v>
      </c>
      <c r="C56">
        <v>100</v>
      </c>
      <c r="D56">
        <v>0.1</v>
      </c>
      <c r="E56">
        <v>5</v>
      </c>
      <c r="F56">
        <v>0.1</v>
      </c>
      <c r="G56">
        <f>C56+E56</f>
        <v>105</v>
      </c>
      <c r="H56">
        <f t="shared" si="149"/>
        <v>9.0702947845804985E-7</v>
      </c>
      <c r="I56" s="8"/>
      <c r="J56">
        <v>676</v>
      </c>
      <c r="K56">
        <v>148</v>
      </c>
      <c r="L56">
        <v>1</v>
      </c>
      <c r="M56">
        <f t="shared" si="133"/>
        <v>4.5653761869978094E-5</v>
      </c>
      <c r="N56">
        <f t="shared" si="134"/>
        <v>4.6560791348436143E-5</v>
      </c>
      <c r="O56">
        <f t="shared" si="135"/>
        <v>6.82354683053001E-3</v>
      </c>
      <c r="P56">
        <f t="shared" si="136"/>
        <v>4.6127176574382869</v>
      </c>
      <c r="Q56" s="8"/>
      <c r="R56" s="8">
        <v>1064</v>
      </c>
      <c r="S56">
        <v>94</v>
      </c>
      <c r="T56">
        <v>1</v>
      </c>
      <c r="U56">
        <f t="shared" si="137"/>
        <v>1.1317338162064282E-4</v>
      </c>
      <c r="V56">
        <f t="shared" si="138"/>
        <v>1.1408041109910088E-4</v>
      </c>
      <c r="W56">
        <f t="shared" si="139"/>
        <v>1.0680843182965513E-2</v>
      </c>
      <c r="X56">
        <f t="shared" si="140"/>
        <v>11.364417146675306</v>
      </c>
      <c r="Z56">
        <v>36.49</v>
      </c>
      <c r="AA56">
        <f t="shared" si="28"/>
        <v>4.6560791348436143E-5</v>
      </c>
      <c r="AB56">
        <f t="shared" si="29"/>
        <v>1.1408041109910088E-4</v>
      </c>
      <c r="AC56">
        <f t="shared" si="141"/>
        <v>1.6064120244753703E-4</v>
      </c>
      <c r="AD56">
        <f t="shared" si="142"/>
        <v>1.267443105024983E-2</v>
      </c>
      <c r="AE56">
        <f t="shared" si="143"/>
        <v>0.46248998902361632</v>
      </c>
      <c r="AG56">
        <v>1.57</v>
      </c>
      <c r="AH56">
        <f t="shared" si="144"/>
        <v>4.6560791348436143E-5</v>
      </c>
      <c r="AI56">
        <f t="shared" si="145"/>
        <v>1.1408041109910088E-4</v>
      </c>
      <c r="AJ56">
        <f t="shared" si="146"/>
        <v>1.6064120244753703E-4</v>
      </c>
      <c r="AK56">
        <f t="shared" si="147"/>
        <v>1.267443105024983E-2</v>
      </c>
      <c r="AL56">
        <f t="shared" si="148"/>
        <v>1.9898856748892236E-2</v>
      </c>
    </row>
    <row r="57" spans="1:38" x14ac:dyDescent="0.35">
      <c r="I57" s="8"/>
      <c r="Q57" s="8"/>
    </row>
    <row r="58" spans="1:38" x14ac:dyDescent="0.35">
      <c r="A58" s="32" t="s">
        <v>361</v>
      </c>
      <c r="B58">
        <v>0</v>
      </c>
      <c r="C58">
        <v>100</v>
      </c>
      <c r="D58">
        <v>0.1</v>
      </c>
      <c r="E58">
        <v>0</v>
      </c>
      <c r="F58">
        <v>0</v>
      </c>
      <c r="G58">
        <f>C58+E58</f>
        <v>100</v>
      </c>
      <c r="H58">
        <f>(D58/G58)^2</f>
        <v>9.9999999999999995E-7</v>
      </c>
      <c r="I58" s="8"/>
      <c r="J58">
        <v>1351</v>
      </c>
      <c r="K58">
        <v>74</v>
      </c>
      <c r="L58">
        <v>1</v>
      </c>
      <c r="M58">
        <f t="shared" ref="M58:M62" si="150">(L58/K58)^2</f>
        <v>1.8261504747991238E-4</v>
      </c>
      <c r="N58">
        <f t="shared" ref="N58:N62" si="151">H58+M58</f>
        <v>1.8361504747991237E-4</v>
      </c>
      <c r="O58">
        <f t="shared" ref="O58:O62" si="152">SQRT(N58)</f>
        <v>1.3550462998728582E-2</v>
      </c>
      <c r="P58">
        <f t="shared" ref="P58:P62" si="153">J58*O58</f>
        <v>18.306675511282315</v>
      </c>
      <c r="Q58" s="8"/>
      <c r="R58" s="8">
        <v>1477</v>
      </c>
      <c r="S58">
        <v>67</v>
      </c>
      <c r="T58">
        <v>1</v>
      </c>
      <c r="U58">
        <f t="shared" ref="U58:U62" si="154">(T58/S58)^2</f>
        <v>2.227667631989307E-4</v>
      </c>
      <c r="V58">
        <f t="shared" ref="V58:V62" si="155">H58+U58</f>
        <v>2.237667631989307E-4</v>
      </c>
      <c r="W58">
        <f t="shared" ref="W58:W62" si="156">SQRT(V58)</f>
        <v>1.4958835623100172E-2</v>
      </c>
      <c r="X58">
        <f t="shared" ref="X58:X62" si="157">R58*W58</f>
        <v>22.094200215318956</v>
      </c>
      <c r="Z58">
        <v>8.56</v>
      </c>
      <c r="AA58">
        <f t="shared" si="28"/>
        <v>1.836150474799124E-4</v>
      </c>
      <c r="AB58">
        <f t="shared" si="29"/>
        <v>2.2376676319893078E-4</v>
      </c>
      <c r="AC58">
        <f t="shared" ref="AC58:AC62" si="158">AA58+AB58</f>
        <v>4.0738181067884318E-4</v>
      </c>
      <c r="AD58">
        <f t="shared" ref="AD58:AD62" si="159">SQRT(AC58)</f>
        <v>2.0183701609933772E-2</v>
      </c>
      <c r="AE58">
        <f t="shared" ref="AE58:AE62" si="160">AD58*Z58</f>
        <v>0.1727724857810331</v>
      </c>
      <c r="AG58">
        <v>1.0900000000000001</v>
      </c>
      <c r="AH58">
        <f t="shared" ref="AH58:AH62" si="161">(P58/J58)^2</f>
        <v>1.836150474799124E-4</v>
      </c>
      <c r="AI58">
        <f t="shared" ref="AI58:AI62" si="162">(X58/R58)^2</f>
        <v>2.2376676319893078E-4</v>
      </c>
      <c r="AJ58">
        <f t="shared" ref="AJ58:AJ62" si="163">AH58+AI58</f>
        <v>4.0738181067884318E-4</v>
      </c>
      <c r="AK58">
        <f t="shared" ref="AK58:AK62" si="164">SQRT(AJ58)</f>
        <v>2.0183701609933772E-2</v>
      </c>
      <c r="AL58">
        <f t="shared" ref="AL58:AL62" si="165">AG58*AK58</f>
        <v>2.2000234754827812E-2</v>
      </c>
    </row>
    <row r="59" spans="1:38" x14ac:dyDescent="0.35">
      <c r="A59" s="32"/>
      <c r="B59">
        <v>0.5</v>
      </c>
      <c r="C59">
        <v>100</v>
      </c>
      <c r="D59">
        <v>0.1</v>
      </c>
      <c r="E59">
        <v>0.5</v>
      </c>
      <c r="F59">
        <v>0.1</v>
      </c>
      <c r="G59">
        <f>C59+E59</f>
        <v>100.5</v>
      </c>
      <c r="H59">
        <f t="shared" ref="H59:H62" si="166">(D59/G59)^2</f>
        <v>9.9007450310635896E-7</v>
      </c>
      <c r="J59">
        <v>1029</v>
      </c>
      <c r="K59">
        <v>97</v>
      </c>
      <c r="L59">
        <v>1</v>
      </c>
      <c r="M59">
        <f t="shared" si="150"/>
        <v>1.0628122010840684E-4</v>
      </c>
      <c r="N59">
        <f t="shared" si="151"/>
        <v>1.072712946115132E-4</v>
      </c>
      <c r="O59">
        <f t="shared" si="152"/>
        <v>1.0357185651107796E-2</v>
      </c>
      <c r="P59">
        <f t="shared" si="153"/>
        <v>10.657544034989922</v>
      </c>
      <c r="R59" s="8">
        <v>1205</v>
      </c>
      <c r="S59">
        <v>83</v>
      </c>
      <c r="T59">
        <v>1</v>
      </c>
      <c r="U59">
        <f t="shared" si="154"/>
        <v>1.451589490492089E-4</v>
      </c>
      <c r="V59">
        <f t="shared" si="155"/>
        <v>1.4614902355231525E-4</v>
      </c>
      <c r="W59">
        <f t="shared" si="156"/>
        <v>1.2089211039282722E-2</v>
      </c>
      <c r="X59">
        <f t="shared" si="157"/>
        <v>14.56749930233568</v>
      </c>
      <c r="Z59">
        <v>14.57</v>
      </c>
      <c r="AA59">
        <f t="shared" si="28"/>
        <v>1.0727129461151321E-4</v>
      </c>
      <c r="AB59">
        <f t="shared" si="29"/>
        <v>1.4614902355231522E-4</v>
      </c>
      <c r="AC59">
        <f t="shared" si="158"/>
        <v>2.5342031816382842E-4</v>
      </c>
      <c r="AD59">
        <f t="shared" si="159"/>
        <v>1.5919180825778329E-2</v>
      </c>
      <c r="AE59">
        <f t="shared" si="160"/>
        <v>0.23194246463159027</v>
      </c>
      <c r="AG59">
        <v>1.17</v>
      </c>
      <c r="AH59">
        <f t="shared" si="161"/>
        <v>1.0727129461151321E-4</v>
      </c>
      <c r="AI59">
        <f t="shared" si="162"/>
        <v>1.4614902355231522E-4</v>
      </c>
      <c r="AJ59">
        <f t="shared" si="163"/>
        <v>2.5342031816382842E-4</v>
      </c>
      <c r="AK59">
        <f t="shared" si="164"/>
        <v>1.5919180825778329E-2</v>
      </c>
      <c r="AL59">
        <f t="shared" si="165"/>
        <v>1.8625441566160646E-2</v>
      </c>
    </row>
    <row r="60" spans="1:38" x14ac:dyDescent="0.35">
      <c r="A60" s="32"/>
      <c r="B60">
        <v>1</v>
      </c>
      <c r="C60">
        <v>100</v>
      </c>
      <c r="D60">
        <v>0.1</v>
      </c>
      <c r="E60">
        <v>1</v>
      </c>
      <c r="F60">
        <v>0.1</v>
      </c>
      <c r="G60">
        <f>C60+E60</f>
        <v>101</v>
      </c>
      <c r="H60">
        <f t="shared" si="166"/>
        <v>9.802960494069209E-7</v>
      </c>
      <c r="J60">
        <v>1025</v>
      </c>
      <c r="K60">
        <v>98</v>
      </c>
      <c r="L60">
        <v>1</v>
      </c>
      <c r="M60">
        <f t="shared" si="150"/>
        <v>1.0412328196584754E-4</v>
      </c>
      <c r="N60">
        <f t="shared" si="151"/>
        <v>1.0510357801525446E-4</v>
      </c>
      <c r="O60">
        <f t="shared" si="152"/>
        <v>1.0252003609795233E-2</v>
      </c>
      <c r="P60">
        <f t="shared" si="153"/>
        <v>10.508303700040113</v>
      </c>
      <c r="Q60" s="8"/>
      <c r="R60" s="8">
        <v>1205</v>
      </c>
      <c r="S60">
        <v>83</v>
      </c>
      <c r="T60">
        <v>1</v>
      </c>
      <c r="U60">
        <f t="shared" si="154"/>
        <v>1.451589490492089E-4</v>
      </c>
      <c r="V60">
        <f t="shared" si="155"/>
        <v>1.4613924509861582E-4</v>
      </c>
      <c r="W60">
        <f t="shared" si="156"/>
        <v>1.2088806603574061E-2</v>
      </c>
      <c r="X60">
        <f t="shared" si="157"/>
        <v>14.567011957306743</v>
      </c>
      <c r="Z60">
        <v>14.98</v>
      </c>
      <c r="AA60">
        <f t="shared" si="28"/>
        <v>1.0510357801525447E-4</v>
      </c>
      <c r="AB60">
        <f t="shared" si="29"/>
        <v>1.4613924509861582E-4</v>
      </c>
      <c r="AC60">
        <f t="shared" si="158"/>
        <v>2.5124282311387029E-4</v>
      </c>
      <c r="AD60">
        <f t="shared" si="159"/>
        <v>1.5850641094727693E-2</v>
      </c>
      <c r="AE60">
        <f t="shared" si="160"/>
        <v>0.23744260359902086</v>
      </c>
      <c r="AG60">
        <v>1.18</v>
      </c>
      <c r="AH60">
        <f t="shared" si="161"/>
        <v>1.0510357801525447E-4</v>
      </c>
      <c r="AI60">
        <f t="shared" si="162"/>
        <v>1.4613924509861582E-4</v>
      </c>
      <c r="AJ60">
        <f t="shared" si="163"/>
        <v>2.5124282311387029E-4</v>
      </c>
      <c r="AK60">
        <f t="shared" si="164"/>
        <v>1.5850641094727693E-2</v>
      </c>
      <c r="AL60">
        <f t="shared" si="165"/>
        <v>1.8703756491778675E-2</v>
      </c>
    </row>
    <row r="61" spans="1:38" x14ac:dyDescent="0.35">
      <c r="A61" s="32"/>
      <c r="B61">
        <v>2.5</v>
      </c>
      <c r="C61">
        <v>100</v>
      </c>
      <c r="D61">
        <v>0.1</v>
      </c>
      <c r="E61">
        <v>2.5</v>
      </c>
      <c r="F61">
        <v>0.1</v>
      </c>
      <c r="G61">
        <f>C61+E61</f>
        <v>102.5</v>
      </c>
      <c r="H61">
        <f t="shared" si="166"/>
        <v>9.5181439619274262E-7</v>
      </c>
      <c r="I61" s="8"/>
      <c r="J61">
        <v>996</v>
      </c>
      <c r="K61">
        <v>101</v>
      </c>
      <c r="L61">
        <v>1</v>
      </c>
      <c r="M61">
        <f t="shared" si="150"/>
        <v>9.8029604940692096E-5</v>
      </c>
      <c r="N61">
        <f t="shared" si="151"/>
        <v>9.8981419336884843E-5</v>
      </c>
      <c r="O61">
        <f t="shared" si="152"/>
        <v>9.9489406137982777E-3</v>
      </c>
      <c r="P61">
        <f t="shared" si="153"/>
        <v>9.9091448513430844</v>
      </c>
      <c r="Q61" s="17"/>
      <c r="R61" s="8">
        <v>1172</v>
      </c>
      <c r="S61">
        <v>85</v>
      </c>
      <c r="T61">
        <v>1</v>
      </c>
      <c r="U61">
        <f t="shared" si="154"/>
        <v>1.3840830449826988E-4</v>
      </c>
      <c r="V61">
        <f t="shared" si="155"/>
        <v>1.3936011889446263E-4</v>
      </c>
      <c r="W61">
        <f t="shared" si="156"/>
        <v>1.1805088686429367E-2</v>
      </c>
      <c r="X61">
        <f t="shared" si="157"/>
        <v>13.835563940495218</v>
      </c>
      <c r="Z61">
        <v>15.1</v>
      </c>
      <c r="AA61">
        <f t="shared" si="28"/>
        <v>9.8981419336884857E-5</v>
      </c>
      <c r="AB61">
        <f t="shared" si="29"/>
        <v>1.3936011889446263E-4</v>
      </c>
      <c r="AC61">
        <f t="shared" si="158"/>
        <v>2.383415382313475E-4</v>
      </c>
      <c r="AD61">
        <f t="shared" si="159"/>
        <v>1.5438313969839695E-2</v>
      </c>
      <c r="AE61">
        <f t="shared" si="160"/>
        <v>0.2331185409445794</v>
      </c>
      <c r="AG61">
        <v>1.18</v>
      </c>
      <c r="AH61">
        <f t="shared" si="161"/>
        <v>9.8981419336884857E-5</v>
      </c>
      <c r="AI61">
        <f t="shared" si="162"/>
        <v>1.3936011889446263E-4</v>
      </c>
      <c r="AJ61">
        <f t="shared" si="163"/>
        <v>2.383415382313475E-4</v>
      </c>
      <c r="AK61">
        <f t="shared" si="164"/>
        <v>1.5438313969839695E-2</v>
      </c>
      <c r="AL61">
        <f t="shared" si="165"/>
        <v>1.8217210484410839E-2</v>
      </c>
    </row>
    <row r="62" spans="1:38" x14ac:dyDescent="0.35">
      <c r="A62" s="32"/>
      <c r="B62">
        <v>5</v>
      </c>
      <c r="C62">
        <v>100</v>
      </c>
      <c r="D62">
        <v>0.1</v>
      </c>
      <c r="E62">
        <v>5</v>
      </c>
      <c r="F62">
        <v>0.1</v>
      </c>
      <c r="G62">
        <f>C62+E62</f>
        <v>105</v>
      </c>
      <c r="H62">
        <f t="shared" si="166"/>
        <v>9.0702947845804985E-7</v>
      </c>
      <c r="I62" s="17"/>
      <c r="J62">
        <v>867</v>
      </c>
      <c r="K62">
        <v>115</v>
      </c>
      <c r="L62">
        <v>1</v>
      </c>
      <c r="M62">
        <f t="shared" si="150"/>
        <v>7.5614366729678646E-5</v>
      </c>
      <c r="N62">
        <f t="shared" si="151"/>
        <v>7.6521396208136701E-5</v>
      </c>
      <c r="O62">
        <f t="shared" si="152"/>
        <v>8.7476508965628422E-3</v>
      </c>
      <c r="P62">
        <f t="shared" si="153"/>
        <v>7.5842133273199845</v>
      </c>
      <c r="Q62" s="8"/>
      <c r="R62" s="8">
        <v>1146</v>
      </c>
      <c r="S62">
        <v>87</v>
      </c>
      <c r="T62">
        <v>1</v>
      </c>
      <c r="U62">
        <f t="shared" si="154"/>
        <v>1.3211784912141631E-4</v>
      </c>
      <c r="V62">
        <f t="shared" si="155"/>
        <v>1.3302487859987437E-4</v>
      </c>
      <c r="W62">
        <f t="shared" si="156"/>
        <v>1.1533641168333371E-2</v>
      </c>
      <c r="X62">
        <f t="shared" si="157"/>
        <v>13.217552778910042</v>
      </c>
      <c r="Z62">
        <v>24.26</v>
      </c>
      <c r="AA62">
        <f t="shared" si="28"/>
        <v>7.6521396208136701E-5</v>
      </c>
      <c r="AB62">
        <f t="shared" si="29"/>
        <v>1.3302487859987437E-4</v>
      </c>
      <c r="AC62">
        <f t="shared" si="158"/>
        <v>2.0954627480801105E-4</v>
      </c>
      <c r="AD62">
        <f t="shared" si="159"/>
        <v>1.4475713274585507E-2</v>
      </c>
      <c r="AE62">
        <f t="shared" si="160"/>
        <v>0.35118080404144442</v>
      </c>
      <c r="AG62">
        <v>1.32</v>
      </c>
      <c r="AH62">
        <f t="shared" si="161"/>
        <v>7.6521396208136701E-5</v>
      </c>
      <c r="AI62">
        <f t="shared" si="162"/>
        <v>1.3302487859987437E-4</v>
      </c>
      <c r="AJ62">
        <f t="shared" si="163"/>
        <v>2.0954627480801105E-4</v>
      </c>
      <c r="AK62">
        <f t="shared" si="164"/>
        <v>1.4475713274585507E-2</v>
      </c>
      <c r="AL62">
        <f t="shared" si="165"/>
        <v>1.9107941522452869E-2</v>
      </c>
    </row>
    <row r="63" spans="1:38" x14ac:dyDescent="0.35">
      <c r="I63" s="8"/>
      <c r="Q63" s="8"/>
    </row>
    <row r="64" spans="1:38" x14ac:dyDescent="0.35">
      <c r="A64" s="32" t="s">
        <v>13</v>
      </c>
      <c r="B64">
        <v>0</v>
      </c>
      <c r="C64">
        <v>100</v>
      </c>
      <c r="D64">
        <v>0.1</v>
      </c>
      <c r="E64">
        <v>0</v>
      </c>
      <c r="F64">
        <v>0</v>
      </c>
      <c r="G64">
        <f>C64+E64</f>
        <v>100</v>
      </c>
      <c r="H64">
        <f>(D64/G64)^2</f>
        <v>9.9999999999999995E-7</v>
      </c>
      <c r="I64" s="8"/>
      <c r="J64">
        <v>642</v>
      </c>
      <c r="K64">
        <v>156</v>
      </c>
      <c r="L64">
        <v>1</v>
      </c>
      <c r="M64">
        <f t="shared" ref="M64:M68" si="167">(L64/K64)^2</f>
        <v>4.1091387245233394E-5</v>
      </c>
      <c r="N64">
        <f t="shared" ref="N64:N68" si="168">H64+M64</f>
        <v>4.2091387245233392E-5</v>
      </c>
      <c r="O64">
        <f t="shared" ref="O64:O68" si="169">SQRT(N64)</f>
        <v>6.4877875462466704E-3</v>
      </c>
      <c r="P64">
        <f t="shared" ref="P64:P68" si="170">J64*O64</f>
        <v>4.1651596046903627</v>
      </c>
      <c r="Q64" s="8"/>
      <c r="R64" s="8">
        <v>795</v>
      </c>
      <c r="S64">
        <v>126</v>
      </c>
      <c r="T64">
        <v>1</v>
      </c>
      <c r="U64">
        <f t="shared" ref="U64:U68" si="171">(T64/S64)^2</f>
        <v>6.2988158226253457E-5</v>
      </c>
      <c r="V64">
        <f t="shared" ref="V64:V68" si="172">H64+U64</f>
        <v>6.3988158226253454E-5</v>
      </c>
      <c r="W64">
        <f t="shared" ref="W64:W68" si="173">SQRT(V64)</f>
        <v>7.9992598549024178E-3</v>
      </c>
      <c r="X64">
        <f t="shared" ref="X64:X68" si="174">R64*W64</f>
        <v>6.3594115846474226</v>
      </c>
      <c r="Z64">
        <v>19.260000000000002</v>
      </c>
      <c r="AA64">
        <f t="shared" si="28"/>
        <v>4.2091387245233405E-5</v>
      </c>
      <c r="AB64">
        <f t="shared" si="29"/>
        <v>6.3988158226253454E-5</v>
      </c>
      <c r="AC64">
        <f t="shared" ref="AC64:AC68" si="175">AA64+AB64</f>
        <v>1.0607954547148685E-4</v>
      </c>
      <c r="AD64">
        <f t="shared" ref="AD64:AD68" si="176">SQRT(AC64)</f>
        <v>1.0299492486112451E-2</v>
      </c>
      <c r="AE64">
        <f t="shared" ref="AE64:AE68" si="177">AD64*Z64</f>
        <v>0.19836822528252582</v>
      </c>
      <c r="AG64">
        <v>1.24</v>
      </c>
      <c r="AH64">
        <f t="shared" ref="AH64:AH68" si="178">(P64/J64)^2</f>
        <v>4.2091387245233405E-5</v>
      </c>
      <c r="AI64">
        <f t="shared" ref="AI64:AI68" si="179">(X64/R64)^2</f>
        <v>6.3988158226253454E-5</v>
      </c>
      <c r="AJ64">
        <f t="shared" ref="AJ64:AJ68" si="180">AH64+AI64</f>
        <v>1.0607954547148685E-4</v>
      </c>
      <c r="AK64">
        <f t="shared" ref="AK64:AK68" si="181">SQRT(AJ64)</f>
        <v>1.0299492486112451E-2</v>
      </c>
      <c r="AL64">
        <f t="shared" ref="AL64:AL68" si="182">AG64*AK64</f>
        <v>1.277137068277944E-2</v>
      </c>
    </row>
    <row r="65" spans="1:38" x14ac:dyDescent="0.35">
      <c r="A65" s="32"/>
      <c r="B65">
        <v>0.5</v>
      </c>
      <c r="C65">
        <v>100</v>
      </c>
      <c r="D65">
        <v>0.1</v>
      </c>
      <c r="E65">
        <v>0.5</v>
      </c>
      <c r="F65">
        <v>0.1</v>
      </c>
      <c r="G65">
        <f>C65+E65</f>
        <v>100.5</v>
      </c>
      <c r="H65">
        <f t="shared" ref="H65:H68" si="183">(D65/G65)^2</f>
        <v>9.9007450310635896E-7</v>
      </c>
      <c r="I65" s="8"/>
      <c r="J65">
        <v>575</v>
      </c>
      <c r="K65">
        <v>174</v>
      </c>
      <c r="L65">
        <v>1</v>
      </c>
      <c r="M65">
        <f t="shared" si="167"/>
        <v>3.3029462280354077E-5</v>
      </c>
      <c r="N65">
        <f t="shared" si="168"/>
        <v>3.4019536783460435E-5</v>
      </c>
      <c r="O65">
        <f t="shared" si="169"/>
        <v>5.8326269196186751E-3</v>
      </c>
      <c r="P65">
        <f t="shared" si="170"/>
        <v>3.353760478780738</v>
      </c>
      <c r="Q65" s="8"/>
      <c r="R65" s="8">
        <v>781</v>
      </c>
      <c r="S65">
        <v>128</v>
      </c>
      <c r="T65">
        <v>1</v>
      </c>
      <c r="U65">
        <f t="shared" si="171"/>
        <v>6.103515625E-5</v>
      </c>
      <c r="V65">
        <f t="shared" si="172"/>
        <v>6.2025230753106364E-5</v>
      </c>
      <c r="W65">
        <f t="shared" si="173"/>
        <v>7.8756098654711414E-3</v>
      </c>
      <c r="X65">
        <f t="shared" si="174"/>
        <v>6.1508513049329618</v>
      </c>
      <c r="Z65">
        <v>26.44</v>
      </c>
      <c r="AA65">
        <f t="shared" si="28"/>
        <v>3.4019536783460435E-5</v>
      </c>
      <c r="AB65">
        <f t="shared" si="29"/>
        <v>6.2025230753106364E-5</v>
      </c>
      <c r="AC65">
        <f t="shared" si="175"/>
        <v>9.6044767536566792E-5</v>
      </c>
      <c r="AD65">
        <f t="shared" si="176"/>
        <v>9.8002432386429458E-3</v>
      </c>
      <c r="AE65">
        <f t="shared" si="177"/>
        <v>0.2591184312297195</v>
      </c>
      <c r="AG65">
        <v>1.36</v>
      </c>
      <c r="AH65">
        <f t="shared" si="178"/>
        <v>3.4019536783460435E-5</v>
      </c>
      <c r="AI65">
        <f t="shared" si="179"/>
        <v>6.2025230753106364E-5</v>
      </c>
      <c r="AJ65">
        <f t="shared" si="180"/>
        <v>9.6044767536566792E-5</v>
      </c>
      <c r="AK65">
        <f t="shared" si="181"/>
        <v>9.8002432386429458E-3</v>
      </c>
      <c r="AL65">
        <f t="shared" si="182"/>
        <v>1.3328330804554407E-2</v>
      </c>
    </row>
    <row r="66" spans="1:38" x14ac:dyDescent="0.35">
      <c r="A66" s="32"/>
      <c r="B66">
        <v>1</v>
      </c>
      <c r="C66">
        <v>100</v>
      </c>
      <c r="D66">
        <v>0.1</v>
      </c>
      <c r="E66">
        <v>1</v>
      </c>
      <c r="F66">
        <v>0.1</v>
      </c>
      <c r="G66">
        <f>C66+E66</f>
        <v>101</v>
      </c>
      <c r="H66">
        <f t="shared" si="183"/>
        <v>9.802960494069209E-7</v>
      </c>
      <c r="I66" s="8"/>
      <c r="J66">
        <v>495</v>
      </c>
      <c r="K66">
        <v>202</v>
      </c>
      <c r="L66">
        <v>1</v>
      </c>
      <c r="M66">
        <f t="shared" si="167"/>
        <v>2.4507401235173024E-5</v>
      </c>
      <c r="N66">
        <f t="shared" si="168"/>
        <v>2.5487697284579945E-5</v>
      </c>
      <c r="O66">
        <f t="shared" si="169"/>
        <v>5.0485341718740449E-3</v>
      </c>
      <c r="P66">
        <f t="shared" si="170"/>
        <v>2.4990244150776522</v>
      </c>
      <c r="Q66" s="17"/>
      <c r="R66" s="8">
        <v>746</v>
      </c>
      <c r="S66">
        <v>134</v>
      </c>
      <c r="T66">
        <v>1</v>
      </c>
      <c r="U66">
        <f t="shared" si="171"/>
        <v>5.5691690799732676E-5</v>
      </c>
      <c r="V66">
        <f t="shared" si="172"/>
        <v>5.6671986849139597E-5</v>
      </c>
      <c r="W66">
        <f t="shared" si="173"/>
        <v>7.5280798912564419E-3</v>
      </c>
      <c r="X66">
        <f t="shared" si="174"/>
        <v>5.6159475988773053</v>
      </c>
      <c r="Z66">
        <v>22.66</v>
      </c>
      <c r="AA66">
        <f t="shared" si="28"/>
        <v>2.5487697284579948E-5</v>
      </c>
      <c r="AB66">
        <f t="shared" si="29"/>
        <v>5.667198684913959E-5</v>
      </c>
      <c r="AC66">
        <f t="shared" si="175"/>
        <v>8.2159684133719535E-5</v>
      </c>
      <c r="AD66">
        <f t="shared" si="176"/>
        <v>9.0641979310758392E-3</v>
      </c>
      <c r="AE66">
        <f t="shared" si="177"/>
        <v>0.20539472511817852</v>
      </c>
      <c r="AG66">
        <v>1.51</v>
      </c>
      <c r="AH66">
        <f t="shared" si="178"/>
        <v>2.5487697284579948E-5</v>
      </c>
      <c r="AI66">
        <f t="shared" si="179"/>
        <v>5.667198684913959E-5</v>
      </c>
      <c r="AJ66">
        <f t="shared" si="180"/>
        <v>8.2159684133719535E-5</v>
      </c>
      <c r="AK66">
        <f t="shared" si="181"/>
        <v>9.0641979310758392E-3</v>
      </c>
      <c r="AL66">
        <f t="shared" si="182"/>
        <v>1.3686938875924518E-2</v>
      </c>
    </row>
    <row r="67" spans="1:38" x14ac:dyDescent="0.35">
      <c r="A67" s="32"/>
      <c r="B67">
        <v>2.5</v>
      </c>
      <c r="C67">
        <v>100</v>
      </c>
      <c r="D67">
        <v>0.1</v>
      </c>
      <c r="E67">
        <v>2.5</v>
      </c>
      <c r="F67">
        <v>0.1</v>
      </c>
      <c r="G67">
        <f>C67+E67</f>
        <v>102.5</v>
      </c>
      <c r="H67">
        <f t="shared" si="183"/>
        <v>9.5181439619274262E-7</v>
      </c>
      <c r="J67">
        <v>426</v>
      </c>
      <c r="K67">
        <v>235</v>
      </c>
      <c r="L67">
        <v>1</v>
      </c>
      <c r="M67">
        <f t="shared" si="167"/>
        <v>1.8107741059302852E-5</v>
      </c>
      <c r="N67">
        <f t="shared" si="168"/>
        <v>1.9059555455495596E-5</v>
      </c>
      <c r="O67">
        <f t="shared" si="169"/>
        <v>4.3657250778645689E-3</v>
      </c>
      <c r="P67">
        <f t="shared" si="170"/>
        <v>1.8597988831703063</v>
      </c>
      <c r="Q67" s="8"/>
      <c r="R67" s="8">
        <v>667</v>
      </c>
      <c r="S67">
        <v>150</v>
      </c>
      <c r="T67">
        <v>1</v>
      </c>
      <c r="U67">
        <f t="shared" si="171"/>
        <v>4.4444444444444453E-5</v>
      </c>
      <c r="V67">
        <f t="shared" si="172"/>
        <v>4.5396258840637194E-5</v>
      </c>
      <c r="W67">
        <f t="shared" si="173"/>
        <v>6.7376745870246059E-3</v>
      </c>
      <c r="X67">
        <f t="shared" si="174"/>
        <v>4.4940289495454122</v>
      </c>
      <c r="Z67">
        <v>36.200000000000003</v>
      </c>
      <c r="AA67">
        <f t="shared" si="28"/>
        <v>1.9059555455495596E-5</v>
      </c>
      <c r="AB67">
        <f t="shared" si="29"/>
        <v>4.5396258840637194E-5</v>
      </c>
      <c r="AC67">
        <f t="shared" si="175"/>
        <v>6.4455814296132793E-5</v>
      </c>
      <c r="AD67">
        <f t="shared" si="176"/>
        <v>8.0284378490546211E-3</v>
      </c>
      <c r="AE67">
        <f t="shared" si="177"/>
        <v>0.29062945013577729</v>
      </c>
      <c r="AG67">
        <v>1.57</v>
      </c>
      <c r="AH67">
        <f t="shared" si="178"/>
        <v>1.9059555455495596E-5</v>
      </c>
      <c r="AI67">
        <f t="shared" si="179"/>
        <v>4.5396258840637194E-5</v>
      </c>
      <c r="AJ67">
        <f t="shared" si="180"/>
        <v>6.4455814296132793E-5</v>
      </c>
      <c r="AK67">
        <f t="shared" si="181"/>
        <v>8.0284378490546211E-3</v>
      </c>
      <c r="AL67">
        <f t="shared" si="182"/>
        <v>1.2604647423015756E-2</v>
      </c>
    </row>
    <row r="68" spans="1:38" x14ac:dyDescent="0.35">
      <c r="A68" s="32"/>
      <c r="B68">
        <v>5</v>
      </c>
      <c r="C68">
        <v>100</v>
      </c>
      <c r="D68">
        <v>0.1</v>
      </c>
      <c r="E68">
        <v>5</v>
      </c>
      <c r="F68">
        <v>0.1</v>
      </c>
      <c r="G68">
        <f>C68+E68</f>
        <v>105</v>
      </c>
      <c r="H68">
        <f t="shared" si="183"/>
        <v>9.0702947845804985E-7</v>
      </c>
      <c r="I68" s="8"/>
      <c r="J68">
        <v>400</v>
      </c>
      <c r="K68">
        <v>250</v>
      </c>
      <c r="L68">
        <v>1</v>
      </c>
      <c r="M68">
        <f t="shared" si="167"/>
        <v>1.5999999999999999E-5</v>
      </c>
      <c r="N68">
        <f t="shared" si="168"/>
        <v>1.6907029478458048E-5</v>
      </c>
      <c r="O68">
        <f t="shared" si="169"/>
        <v>4.1118158371281719E-3</v>
      </c>
      <c r="P68">
        <f t="shared" si="170"/>
        <v>1.6447263348512688</v>
      </c>
      <c r="Q68" s="8"/>
      <c r="R68" s="8">
        <v>617</v>
      </c>
      <c r="S68">
        <v>162</v>
      </c>
      <c r="T68">
        <v>1</v>
      </c>
      <c r="U68">
        <f t="shared" si="171"/>
        <v>3.8103947568968139E-5</v>
      </c>
      <c r="V68">
        <f t="shared" si="172"/>
        <v>3.9010977047426188E-5</v>
      </c>
      <c r="W68">
        <f t="shared" si="173"/>
        <v>6.2458768037342996E-3</v>
      </c>
      <c r="X68">
        <f t="shared" si="174"/>
        <v>3.8537059879040627</v>
      </c>
      <c r="Z68">
        <v>35.200000000000003</v>
      </c>
      <c r="AA68">
        <f t="shared" si="28"/>
        <v>1.6907029478458048E-5</v>
      </c>
      <c r="AB68">
        <f t="shared" si="29"/>
        <v>3.9010977047426188E-5</v>
      </c>
      <c r="AC68">
        <f t="shared" si="175"/>
        <v>5.5918006525884233E-5</v>
      </c>
      <c r="AD68">
        <f t="shared" si="176"/>
        <v>7.4778343473150188E-3</v>
      </c>
      <c r="AE68">
        <f t="shared" si="177"/>
        <v>0.26321976902548866</v>
      </c>
      <c r="AG68">
        <v>1.54</v>
      </c>
      <c r="AH68">
        <f t="shared" si="178"/>
        <v>1.6907029478458048E-5</v>
      </c>
      <c r="AI68">
        <f t="shared" si="179"/>
        <v>3.9010977047426188E-5</v>
      </c>
      <c r="AJ68">
        <f t="shared" si="180"/>
        <v>5.5918006525884233E-5</v>
      </c>
      <c r="AK68">
        <f t="shared" si="181"/>
        <v>7.4778343473150188E-3</v>
      </c>
      <c r="AL68">
        <f t="shared" si="182"/>
        <v>1.1515864894865129E-2</v>
      </c>
    </row>
    <row r="69" spans="1:38" x14ac:dyDescent="0.35">
      <c r="I69" s="17"/>
      <c r="Q69" s="8"/>
    </row>
    <row r="70" spans="1:38" x14ac:dyDescent="0.35">
      <c r="A70" s="32" t="s">
        <v>14</v>
      </c>
      <c r="B70">
        <v>0</v>
      </c>
      <c r="C70">
        <v>100</v>
      </c>
      <c r="D70">
        <v>0.1</v>
      </c>
      <c r="E70">
        <v>0</v>
      </c>
      <c r="F70">
        <v>0</v>
      </c>
      <c r="G70">
        <f>C70+E70</f>
        <v>100</v>
      </c>
      <c r="H70">
        <f>(D70/G70)^2</f>
        <v>9.9999999999999995E-7</v>
      </c>
      <c r="I70" s="8"/>
      <c r="J70">
        <v>864</v>
      </c>
      <c r="K70">
        <v>116</v>
      </c>
      <c r="L70">
        <v>1</v>
      </c>
      <c r="M70">
        <f t="shared" ref="M70:M74" si="184">(L70/K70)^2</f>
        <v>7.4316290130796664E-5</v>
      </c>
      <c r="N70">
        <f t="shared" ref="N70:N74" si="185">H70+M70</f>
        <v>7.5316290130796661E-5</v>
      </c>
      <c r="O70">
        <f t="shared" ref="O70:O74" si="186">SQRT(N70)</f>
        <v>8.6784958449489767E-3</v>
      </c>
      <c r="P70">
        <f t="shared" ref="P70:P74" si="187">J70*O70</f>
        <v>7.4982204100359162</v>
      </c>
      <c r="Q70" s="8"/>
      <c r="R70" s="8">
        <v>937</v>
      </c>
      <c r="S70">
        <v>106</v>
      </c>
      <c r="T70">
        <v>1</v>
      </c>
      <c r="U70">
        <f t="shared" ref="U70:U74" si="188">(T70/S70)^2</f>
        <v>8.8999644001423986E-5</v>
      </c>
      <c r="V70">
        <f t="shared" ref="V70:V74" si="189">H70+U70</f>
        <v>8.9999644001423983E-5</v>
      </c>
      <c r="W70">
        <f t="shared" ref="W70:W74" si="190">SQRT(V70)</f>
        <v>9.4868142177141832E-3</v>
      </c>
      <c r="X70">
        <f t="shared" ref="X70:X74" si="191">R70*W70</f>
        <v>8.8891449219981897</v>
      </c>
      <c r="Z70">
        <v>7.78</v>
      </c>
      <c r="AA70">
        <f t="shared" si="28"/>
        <v>7.5316290130796648E-5</v>
      </c>
      <c r="AB70">
        <f t="shared" si="29"/>
        <v>8.9999644001423969E-5</v>
      </c>
      <c r="AC70">
        <f t="shared" ref="AC70:AC74" si="192">AA70+AB70</f>
        <v>1.653159341322206E-4</v>
      </c>
      <c r="AD70">
        <f t="shared" ref="AD70:AD74" si="193">SQRT(AC70)</f>
        <v>1.2857524416940479E-2</v>
      </c>
      <c r="AE70">
        <f t="shared" ref="AE70:AE74" si="194">AD70*Z70</f>
        <v>0.10003153996379693</v>
      </c>
      <c r="AG70">
        <v>1.08</v>
      </c>
      <c r="AH70">
        <f t="shared" ref="AH70:AH74" si="195">(P70/J70)^2</f>
        <v>7.5316290130796648E-5</v>
      </c>
      <c r="AI70">
        <f t="shared" ref="AI70:AI74" si="196">(X70/R70)^2</f>
        <v>8.9999644001423969E-5</v>
      </c>
      <c r="AJ70">
        <f t="shared" ref="AJ70:AJ74" si="197">AH70+AI70</f>
        <v>1.653159341322206E-4</v>
      </c>
      <c r="AK70">
        <f t="shared" ref="AK70:AK74" si="198">SQRT(AJ70)</f>
        <v>1.2857524416940479E-2</v>
      </c>
      <c r="AL70">
        <f t="shared" ref="AL70:AL74" si="199">AG70*AK70</f>
        <v>1.3886126370295718E-2</v>
      </c>
    </row>
    <row r="71" spans="1:38" x14ac:dyDescent="0.35">
      <c r="A71" s="32"/>
      <c r="B71">
        <v>0.5</v>
      </c>
      <c r="C71">
        <v>100</v>
      </c>
      <c r="D71">
        <v>0.1</v>
      </c>
      <c r="E71">
        <v>0.5</v>
      </c>
      <c r="F71">
        <v>0.1</v>
      </c>
      <c r="G71">
        <f>C71+E71</f>
        <v>100.5</v>
      </c>
      <c r="H71">
        <f t="shared" ref="H71:H74" si="200">(D71/G71)^2</f>
        <v>9.9007450310635896E-7</v>
      </c>
      <c r="I71" s="8"/>
      <c r="J71">
        <v>758</v>
      </c>
      <c r="K71">
        <v>132</v>
      </c>
      <c r="L71">
        <v>1</v>
      </c>
      <c r="M71">
        <f t="shared" si="184"/>
        <v>5.7392102846648307E-5</v>
      </c>
      <c r="N71">
        <f t="shared" si="185"/>
        <v>5.8382177349754665E-5</v>
      </c>
      <c r="O71">
        <f t="shared" si="186"/>
        <v>7.6408230806474416E-3</v>
      </c>
      <c r="P71">
        <f t="shared" si="187"/>
        <v>5.7917438951307609</v>
      </c>
      <c r="R71" s="8">
        <v>962</v>
      </c>
      <c r="S71">
        <v>104</v>
      </c>
      <c r="T71">
        <v>1</v>
      </c>
      <c r="U71">
        <f t="shared" si="188"/>
        <v>9.2455621301775159E-5</v>
      </c>
      <c r="V71">
        <f t="shared" si="189"/>
        <v>9.3445695804881523E-5</v>
      </c>
      <c r="W71">
        <f t="shared" si="190"/>
        <v>9.6667313919898239E-3</v>
      </c>
      <c r="X71">
        <f t="shared" si="191"/>
        <v>9.2993955990942112</v>
      </c>
      <c r="Z71">
        <v>21.21</v>
      </c>
      <c r="AA71">
        <f t="shared" si="28"/>
        <v>5.8382177349754658E-5</v>
      </c>
      <c r="AB71">
        <f t="shared" si="29"/>
        <v>9.3445695804881523E-5</v>
      </c>
      <c r="AC71">
        <f t="shared" si="192"/>
        <v>1.5182787315463618E-4</v>
      </c>
      <c r="AD71">
        <f t="shared" si="193"/>
        <v>1.2321845363200927E-2</v>
      </c>
      <c r="AE71">
        <f t="shared" si="194"/>
        <v>0.26134634015349167</v>
      </c>
      <c r="AG71">
        <v>1.27</v>
      </c>
      <c r="AH71">
        <f t="shared" si="195"/>
        <v>5.8382177349754658E-5</v>
      </c>
      <c r="AI71">
        <f t="shared" si="196"/>
        <v>9.3445695804881523E-5</v>
      </c>
      <c r="AJ71">
        <f t="shared" si="197"/>
        <v>1.5182787315463618E-4</v>
      </c>
      <c r="AK71">
        <f t="shared" si="198"/>
        <v>1.2321845363200927E-2</v>
      </c>
      <c r="AL71">
        <f t="shared" si="199"/>
        <v>1.5648743611265177E-2</v>
      </c>
    </row>
    <row r="72" spans="1:38" x14ac:dyDescent="0.35">
      <c r="A72" s="32"/>
      <c r="B72">
        <v>1</v>
      </c>
      <c r="C72">
        <v>100</v>
      </c>
      <c r="D72">
        <v>0.1</v>
      </c>
      <c r="E72">
        <v>1</v>
      </c>
      <c r="F72">
        <v>0.1</v>
      </c>
      <c r="G72">
        <f>C72+E72</f>
        <v>101</v>
      </c>
      <c r="H72">
        <f t="shared" si="200"/>
        <v>9.802960494069209E-7</v>
      </c>
      <c r="I72" s="8"/>
      <c r="J72">
        <v>756</v>
      </c>
      <c r="K72">
        <v>132</v>
      </c>
      <c r="L72">
        <v>1</v>
      </c>
      <c r="M72">
        <f t="shared" si="184"/>
        <v>5.7392102846648307E-5</v>
      </c>
      <c r="N72">
        <f t="shared" si="185"/>
        <v>5.8372398896055228E-5</v>
      </c>
      <c r="O72">
        <f t="shared" si="186"/>
        <v>7.6401831716298024E-3</v>
      </c>
      <c r="P72">
        <f t="shared" si="187"/>
        <v>5.7759784777521306</v>
      </c>
      <c r="Q72" s="8"/>
      <c r="R72" s="8">
        <v>1006</v>
      </c>
      <c r="S72">
        <v>101</v>
      </c>
      <c r="T72">
        <v>1</v>
      </c>
      <c r="U72">
        <f t="shared" si="188"/>
        <v>9.8029604940692096E-5</v>
      </c>
      <c r="V72">
        <f t="shared" si="189"/>
        <v>9.9009900990099017E-5</v>
      </c>
      <c r="W72">
        <f t="shared" si="190"/>
        <v>9.9503719020998908E-3</v>
      </c>
      <c r="X72">
        <f t="shared" si="191"/>
        <v>10.010074133512489</v>
      </c>
      <c r="Z72">
        <v>18.12</v>
      </c>
      <c r="AA72">
        <f t="shared" si="28"/>
        <v>5.8372398896055228E-5</v>
      </c>
      <c r="AB72">
        <f t="shared" si="29"/>
        <v>9.9009900990099003E-5</v>
      </c>
      <c r="AC72">
        <f t="shared" si="192"/>
        <v>1.5738229988615423E-4</v>
      </c>
      <c r="AD72">
        <f t="shared" si="193"/>
        <v>1.2545210236825616E-2</v>
      </c>
      <c r="AE72">
        <f t="shared" si="194"/>
        <v>0.22731920949128018</v>
      </c>
      <c r="AG72">
        <v>1.27</v>
      </c>
      <c r="AH72">
        <f t="shared" si="195"/>
        <v>5.8372398896055228E-5</v>
      </c>
      <c r="AI72">
        <f t="shared" si="196"/>
        <v>9.9009900990099003E-5</v>
      </c>
      <c r="AJ72">
        <f t="shared" si="197"/>
        <v>1.5738229988615423E-4</v>
      </c>
      <c r="AK72">
        <f t="shared" si="198"/>
        <v>1.2545210236825616E-2</v>
      </c>
      <c r="AL72">
        <f t="shared" si="199"/>
        <v>1.5932417000768532E-2</v>
      </c>
    </row>
    <row r="73" spans="1:38" x14ac:dyDescent="0.35">
      <c r="A73" s="32"/>
      <c r="B73">
        <v>2.5</v>
      </c>
      <c r="C73">
        <v>100</v>
      </c>
      <c r="D73">
        <v>0.1</v>
      </c>
      <c r="E73">
        <v>2.5</v>
      </c>
      <c r="F73">
        <v>0.1</v>
      </c>
      <c r="G73">
        <f>C73+E73</f>
        <v>102.5</v>
      </c>
      <c r="H73">
        <f t="shared" si="200"/>
        <v>9.5181439619274262E-7</v>
      </c>
      <c r="I73" s="8"/>
      <c r="J73">
        <v>661</v>
      </c>
      <c r="K73">
        <v>151</v>
      </c>
      <c r="L73">
        <v>1</v>
      </c>
      <c r="M73">
        <f t="shared" si="184"/>
        <v>4.3857725538353582E-5</v>
      </c>
      <c r="N73">
        <f t="shared" si="185"/>
        <v>4.4809539934546323E-5</v>
      </c>
      <c r="O73">
        <f t="shared" si="186"/>
        <v>6.6939928245066359E-3</v>
      </c>
      <c r="P73">
        <f t="shared" si="187"/>
        <v>4.4247292569988863</v>
      </c>
      <c r="Q73" s="17"/>
      <c r="R73" s="8">
        <v>829</v>
      </c>
      <c r="S73">
        <v>120</v>
      </c>
      <c r="T73">
        <v>1</v>
      </c>
      <c r="U73">
        <f t="shared" si="188"/>
        <v>6.9444444444444444E-5</v>
      </c>
      <c r="V73">
        <f t="shared" si="189"/>
        <v>7.0396258840637192E-5</v>
      </c>
      <c r="W73">
        <f t="shared" si="190"/>
        <v>8.3902478414309787E-3</v>
      </c>
      <c r="X73">
        <f t="shared" si="191"/>
        <v>6.9555154605462812</v>
      </c>
      <c r="Z73">
        <v>20.3</v>
      </c>
      <c r="AA73">
        <f t="shared" si="28"/>
        <v>4.480953993454633E-5</v>
      </c>
      <c r="AB73">
        <f t="shared" si="29"/>
        <v>7.0396258840637192E-5</v>
      </c>
      <c r="AC73">
        <f t="shared" si="192"/>
        <v>1.1520579877518352E-4</v>
      </c>
      <c r="AD73">
        <f t="shared" si="193"/>
        <v>1.0733396423089176E-2</v>
      </c>
      <c r="AE73">
        <f t="shared" si="194"/>
        <v>0.21788794738871028</v>
      </c>
      <c r="AG73">
        <v>1.25</v>
      </c>
      <c r="AH73">
        <f t="shared" si="195"/>
        <v>4.480953993454633E-5</v>
      </c>
      <c r="AI73">
        <f t="shared" si="196"/>
        <v>7.0396258840637192E-5</v>
      </c>
      <c r="AJ73">
        <f t="shared" si="197"/>
        <v>1.1520579877518352E-4</v>
      </c>
      <c r="AK73">
        <f t="shared" si="198"/>
        <v>1.0733396423089176E-2</v>
      </c>
      <c r="AL73">
        <f t="shared" si="199"/>
        <v>1.3416745528861469E-2</v>
      </c>
    </row>
    <row r="74" spans="1:38" x14ac:dyDescent="0.35">
      <c r="A74" s="32"/>
      <c r="B74">
        <v>5</v>
      </c>
      <c r="C74">
        <v>100</v>
      </c>
      <c r="D74">
        <v>0.1</v>
      </c>
      <c r="E74">
        <v>5</v>
      </c>
      <c r="F74">
        <v>0.1</v>
      </c>
      <c r="G74">
        <f>C74+E74</f>
        <v>105</v>
      </c>
      <c r="H74">
        <f t="shared" si="200"/>
        <v>9.0702947845804985E-7</v>
      </c>
      <c r="I74" s="8"/>
      <c r="J74">
        <v>575</v>
      </c>
      <c r="K74">
        <v>174</v>
      </c>
      <c r="L74">
        <v>1</v>
      </c>
      <c r="M74">
        <f t="shared" si="184"/>
        <v>3.3029462280354077E-5</v>
      </c>
      <c r="N74">
        <f t="shared" si="185"/>
        <v>3.3936491758812126E-5</v>
      </c>
      <c r="O74">
        <f t="shared" si="186"/>
        <v>5.8255035626812663E-3</v>
      </c>
      <c r="P74">
        <f t="shared" si="187"/>
        <v>3.3496645485417282</v>
      </c>
      <c r="Q74" s="8"/>
      <c r="R74" s="8">
        <v>840</v>
      </c>
      <c r="S74">
        <v>119</v>
      </c>
      <c r="T74">
        <v>1</v>
      </c>
      <c r="U74">
        <f t="shared" si="188"/>
        <v>7.0616481886872395E-5</v>
      </c>
      <c r="V74">
        <f t="shared" si="189"/>
        <v>7.1523511365330451E-5</v>
      </c>
      <c r="W74">
        <f t="shared" si="190"/>
        <v>8.4571574045497373E-3</v>
      </c>
      <c r="X74">
        <f t="shared" si="191"/>
        <v>7.1040122198217794</v>
      </c>
      <c r="Z74">
        <v>31.61</v>
      </c>
      <c r="AA74">
        <f t="shared" si="28"/>
        <v>3.3936491758812126E-5</v>
      </c>
      <c r="AB74">
        <f t="shared" si="29"/>
        <v>7.1523511365330451E-5</v>
      </c>
      <c r="AC74">
        <f t="shared" si="192"/>
        <v>1.0546000312414258E-4</v>
      </c>
      <c r="AD74">
        <f t="shared" si="193"/>
        <v>1.0269372090061913E-2</v>
      </c>
      <c r="AE74">
        <f t="shared" si="194"/>
        <v>0.32461485176685706</v>
      </c>
      <c r="AG74">
        <v>1.46</v>
      </c>
      <c r="AH74">
        <f t="shared" si="195"/>
        <v>3.3936491758812126E-5</v>
      </c>
      <c r="AI74">
        <f t="shared" si="196"/>
        <v>7.1523511365330451E-5</v>
      </c>
      <c r="AJ74">
        <f t="shared" si="197"/>
        <v>1.0546000312414258E-4</v>
      </c>
      <c r="AK74">
        <f t="shared" si="198"/>
        <v>1.0269372090061913E-2</v>
      </c>
      <c r="AL74">
        <f t="shared" si="199"/>
        <v>1.4993283251490392E-2</v>
      </c>
    </row>
    <row r="75" spans="1:38" x14ac:dyDescent="0.35">
      <c r="I75" s="17"/>
      <c r="Q75" s="8"/>
    </row>
    <row r="76" spans="1:38" x14ac:dyDescent="0.35">
      <c r="A76" s="32" t="s">
        <v>15</v>
      </c>
      <c r="B76">
        <v>0</v>
      </c>
      <c r="C76">
        <v>100</v>
      </c>
      <c r="D76">
        <v>0.1</v>
      </c>
      <c r="E76">
        <v>0</v>
      </c>
      <c r="F76">
        <v>0</v>
      </c>
      <c r="G76">
        <f>C76+E76</f>
        <v>100</v>
      </c>
      <c r="H76">
        <f>(D76/G76)^2</f>
        <v>9.9999999999999995E-7</v>
      </c>
      <c r="I76" s="8"/>
      <c r="J76">
        <v>555</v>
      </c>
      <c r="K76">
        <v>180</v>
      </c>
      <c r="L76">
        <v>1</v>
      </c>
      <c r="M76">
        <f t="shared" ref="M76:M80" si="201">(L76/K76)^2</f>
        <v>3.0864197530864198E-5</v>
      </c>
      <c r="N76">
        <f t="shared" ref="N76:N80" si="202">H76+M76</f>
        <v>3.1864197530864195E-5</v>
      </c>
      <c r="O76">
        <f t="shared" ref="O76:O80" si="203">SQRT(N76)</f>
        <v>5.6448381315024609E-3</v>
      </c>
      <c r="P76">
        <f t="shared" ref="P76:P80" si="204">J76*O76</f>
        <v>3.1328851629838659</v>
      </c>
      <c r="Q76" s="8"/>
      <c r="R76" s="8">
        <v>679</v>
      </c>
      <c r="S76">
        <v>147</v>
      </c>
      <c r="T76">
        <v>1</v>
      </c>
      <c r="U76">
        <f t="shared" ref="U76:U80" si="205">(T76/S76)^2</f>
        <v>4.6277014207043356E-5</v>
      </c>
      <c r="V76">
        <f t="shared" ref="V76:V80" si="206">H76+U76</f>
        <v>4.7277014207043353E-5</v>
      </c>
      <c r="W76">
        <f t="shared" ref="W76:W80" si="207">SQRT(V76)</f>
        <v>6.8758282560752891E-3</v>
      </c>
      <c r="X76">
        <f t="shared" ref="X76:X80" si="208">R76*W76</f>
        <v>4.6686873858751214</v>
      </c>
      <c r="Z76">
        <v>18.28</v>
      </c>
      <c r="AA76">
        <f t="shared" ref="AA76:AA98" si="209">(P76/J76)^2</f>
        <v>3.1864197530864195E-5</v>
      </c>
      <c r="AB76">
        <f t="shared" ref="AB76:AB97" si="210">(X76/R76)^2</f>
        <v>4.7277014207043353E-5</v>
      </c>
      <c r="AC76">
        <f t="shared" ref="AC76:AC80" si="211">AA76+AB76</f>
        <v>7.9141211737907555E-5</v>
      </c>
      <c r="AD76">
        <f t="shared" ref="AD76:AD80" si="212">SQRT(AC76)</f>
        <v>8.896134651516216E-3</v>
      </c>
      <c r="AE76">
        <f t="shared" ref="AE76:AE80" si="213">AD76*Z76</f>
        <v>0.16262134142971643</v>
      </c>
      <c r="AG76">
        <v>1.22</v>
      </c>
      <c r="AH76">
        <f t="shared" ref="AH76:AH80" si="214">(P76/J76)^2</f>
        <v>3.1864197530864195E-5</v>
      </c>
      <c r="AI76">
        <f t="shared" ref="AI76:AI80" si="215">(X76/R76)^2</f>
        <v>4.7277014207043353E-5</v>
      </c>
      <c r="AJ76">
        <f t="shared" ref="AJ76:AJ80" si="216">AH76+AI76</f>
        <v>7.9141211737907555E-5</v>
      </c>
      <c r="AK76">
        <f t="shared" ref="AK76:AK80" si="217">SQRT(AJ76)</f>
        <v>8.896134651516216E-3</v>
      </c>
      <c r="AL76">
        <f t="shared" ref="AL76:AL80" si="218">AG76*AK76</f>
        <v>1.0853284274849783E-2</v>
      </c>
    </row>
    <row r="77" spans="1:38" x14ac:dyDescent="0.35">
      <c r="A77" s="32"/>
      <c r="B77">
        <v>0.5</v>
      </c>
      <c r="C77">
        <v>100</v>
      </c>
      <c r="D77">
        <v>0.1</v>
      </c>
      <c r="E77">
        <v>0.5</v>
      </c>
      <c r="F77">
        <v>0.1</v>
      </c>
      <c r="G77">
        <f>C77+E77</f>
        <v>100.5</v>
      </c>
      <c r="H77">
        <f t="shared" ref="H77:H80" si="219">(D77/G77)^2</f>
        <v>9.9007450310635896E-7</v>
      </c>
      <c r="I77" s="8"/>
      <c r="J77">
        <v>505</v>
      </c>
      <c r="K77">
        <v>198</v>
      </c>
      <c r="L77">
        <v>1</v>
      </c>
      <c r="M77">
        <f t="shared" si="201"/>
        <v>2.5507601265177026E-5</v>
      </c>
      <c r="N77">
        <f t="shared" si="202"/>
        <v>2.6497675768283387E-5</v>
      </c>
      <c r="O77">
        <f t="shared" si="203"/>
        <v>5.1475893162026233E-3</v>
      </c>
      <c r="P77">
        <f t="shared" si="204"/>
        <v>2.5995326046823246</v>
      </c>
      <c r="Q77" s="8"/>
      <c r="R77" s="8">
        <v>621</v>
      </c>
      <c r="S77">
        <v>161</v>
      </c>
      <c r="T77">
        <v>1</v>
      </c>
      <c r="U77">
        <f t="shared" si="205"/>
        <v>3.8578758535550319E-5</v>
      </c>
      <c r="V77">
        <f t="shared" si="206"/>
        <v>3.9568833038656676E-5</v>
      </c>
      <c r="W77">
        <f t="shared" si="207"/>
        <v>6.2903762239357895E-3</v>
      </c>
      <c r="X77">
        <f t="shared" si="208"/>
        <v>3.9063236350641253</v>
      </c>
      <c r="Z77">
        <v>18.68</v>
      </c>
      <c r="AA77">
        <f t="shared" si="209"/>
        <v>2.649767576828339E-5</v>
      </c>
      <c r="AB77">
        <f t="shared" si="210"/>
        <v>3.9568833038656683E-5</v>
      </c>
      <c r="AC77">
        <f t="shared" si="211"/>
        <v>6.6066508806940076E-5</v>
      </c>
      <c r="AD77">
        <f t="shared" si="212"/>
        <v>8.1281307080373691E-3</v>
      </c>
      <c r="AE77">
        <f t="shared" si="213"/>
        <v>0.15183348162613805</v>
      </c>
      <c r="AG77">
        <v>1.23</v>
      </c>
      <c r="AH77">
        <f t="shared" si="214"/>
        <v>2.649767576828339E-5</v>
      </c>
      <c r="AI77">
        <f t="shared" si="215"/>
        <v>3.9568833038656683E-5</v>
      </c>
      <c r="AJ77">
        <f t="shared" si="216"/>
        <v>6.6066508806940076E-5</v>
      </c>
      <c r="AK77">
        <f t="shared" si="217"/>
        <v>8.1281307080373691E-3</v>
      </c>
      <c r="AL77">
        <f t="shared" si="218"/>
        <v>9.9976007708859633E-3</v>
      </c>
    </row>
    <row r="78" spans="1:38" x14ac:dyDescent="0.35">
      <c r="A78" s="32"/>
      <c r="B78">
        <v>1</v>
      </c>
      <c r="C78">
        <v>100</v>
      </c>
      <c r="D78">
        <v>0.1</v>
      </c>
      <c r="E78">
        <v>1</v>
      </c>
      <c r="F78">
        <v>0.1</v>
      </c>
      <c r="G78">
        <f>C78+E78</f>
        <v>101</v>
      </c>
      <c r="H78">
        <f t="shared" si="219"/>
        <v>9.802960494069209E-7</v>
      </c>
      <c r="I78" s="8"/>
      <c r="J78">
        <v>500</v>
      </c>
      <c r="K78">
        <v>200</v>
      </c>
      <c r="L78">
        <v>1</v>
      </c>
      <c r="M78">
        <f t="shared" si="201"/>
        <v>2.5000000000000001E-5</v>
      </c>
      <c r="N78">
        <f t="shared" si="202"/>
        <v>2.5980296049406922E-5</v>
      </c>
      <c r="O78">
        <f t="shared" si="203"/>
        <v>5.0970870160717214E-3</v>
      </c>
      <c r="P78">
        <f t="shared" si="204"/>
        <v>2.5485435080358605</v>
      </c>
      <c r="R78" s="8">
        <v>592</v>
      </c>
      <c r="S78">
        <v>169</v>
      </c>
      <c r="T78">
        <v>1</v>
      </c>
      <c r="U78">
        <f t="shared" si="205"/>
        <v>3.5012779664577572E-5</v>
      </c>
      <c r="V78">
        <f t="shared" si="206"/>
        <v>3.5993075713984492E-5</v>
      </c>
      <c r="W78">
        <f t="shared" si="207"/>
        <v>5.9994229484163298E-3</v>
      </c>
      <c r="X78">
        <f t="shared" si="208"/>
        <v>3.551658385462467</v>
      </c>
      <c r="Z78">
        <v>15.15</v>
      </c>
      <c r="AA78">
        <f t="shared" si="209"/>
        <v>2.5980296049406925E-5</v>
      </c>
      <c r="AB78">
        <f t="shared" si="210"/>
        <v>3.5993075713984486E-5</v>
      </c>
      <c r="AC78">
        <f t="shared" si="211"/>
        <v>6.1973371763391418E-5</v>
      </c>
      <c r="AD78">
        <f t="shared" si="212"/>
        <v>7.8723167977026564E-3</v>
      </c>
      <c r="AE78">
        <f t="shared" si="213"/>
        <v>0.11926559948519525</v>
      </c>
      <c r="AG78">
        <v>1.18</v>
      </c>
      <c r="AH78">
        <f t="shared" si="214"/>
        <v>2.5980296049406925E-5</v>
      </c>
      <c r="AI78">
        <f t="shared" si="215"/>
        <v>3.5993075713984486E-5</v>
      </c>
      <c r="AJ78">
        <f t="shared" si="216"/>
        <v>6.1973371763391418E-5</v>
      </c>
      <c r="AK78">
        <f t="shared" si="217"/>
        <v>7.8723167977026564E-3</v>
      </c>
      <c r="AL78">
        <f t="shared" si="218"/>
        <v>9.2893338212891342E-3</v>
      </c>
    </row>
    <row r="79" spans="1:38" x14ac:dyDescent="0.35">
      <c r="A79" s="32"/>
      <c r="B79">
        <v>2.5</v>
      </c>
      <c r="C79">
        <v>100</v>
      </c>
      <c r="D79">
        <v>0.1</v>
      </c>
      <c r="E79">
        <v>2.5</v>
      </c>
      <c r="F79">
        <v>0.1</v>
      </c>
      <c r="G79">
        <f>C79+E79</f>
        <v>102.5</v>
      </c>
      <c r="H79">
        <f t="shared" si="219"/>
        <v>9.5181439619274262E-7</v>
      </c>
      <c r="I79" s="17"/>
      <c r="J79">
        <v>505</v>
      </c>
      <c r="K79">
        <v>198</v>
      </c>
      <c r="L79">
        <v>1</v>
      </c>
      <c r="M79">
        <f t="shared" si="201"/>
        <v>2.5507601265177026E-5</v>
      </c>
      <c r="N79">
        <f t="shared" si="202"/>
        <v>2.645941566136977E-5</v>
      </c>
      <c r="O79">
        <f t="shared" si="203"/>
        <v>5.1438716606627905E-3</v>
      </c>
      <c r="P79">
        <f t="shared" si="204"/>
        <v>2.5976551886347092</v>
      </c>
      <c r="R79" s="8">
        <v>595</v>
      </c>
      <c r="S79">
        <v>168</v>
      </c>
      <c r="T79">
        <v>1</v>
      </c>
      <c r="U79">
        <f t="shared" si="205"/>
        <v>3.5430839002267568E-5</v>
      </c>
      <c r="V79">
        <f t="shared" si="206"/>
        <v>3.6382653398460309E-5</v>
      </c>
      <c r="W79">
        <f t="shared" si="207"/>
        <v>6.0318034946821924E-3</v>
      </c>
      <c r="X79">
        <f t="shared" si="208"/>
        <v>3.5889230793359044</v>
      </c>
      <c r="Z79">
        <v>17.2</v>
      </c>
      <c r="AA79">
        <f t="shared" si="209"/>
        <v>2.6459415661369773E-5</v>
      </c>
      <c r="AB79">
        <f t="shared" si="210"/>
        <v>3.6382653398460309E-5</v>
      </c>
      <c r="AC79">
        <f t="shared" si="211"/>
        <v>6.2842069059830085E-5</v>
      </c>
      <c r="AD79">
        <f t="shared" si="212"/>
        <v>7.9272989763115465E-3</v>
      </c>
      <c r="AE79">
        <f t="shared" si="213"/>
        <v>0.13634954239255859</v>
      </c>
      <c r="AG79">
        <v>1.21</v>
      </c>
      <c r="AH79">
        <f t="shared" si="214"/>
        <v>2.6459415661369773E-5</v>
      </c>
      <c r="AI79">
        <f t="shared" si="215"/>
        <v>3.6382653398460309E-5</v>
      </c>
      <c r="AJ79">
        <f t="shared" si="216"/>
        <v>6.2842069059830085E-5</v>
      </c>
      <c r="AK79">
        <f t="shared" si="217"/>
        <v>7.9272989763115465E-3</v>
      </c>
      <c r="AL79">
        <f t="shared" si="218"/>
        <v>9.5920317613369718E-3</v>
      </c>
    </row>
    <row r="80" spans="1:38" x14ac:dyDescent="0.35">
      <c r="A80" s="32"/>
      <c r="B80">
        <v>5</v>
      </c>
      <c r="C80">
        <v>100</v>
      </c>
      <c r="D80">
        <v>0.1</v>
      </c>
      <c r="E80">
        <v>5</v>
      </c>
      <c r="F80">
        <v>0.1</v>
      </c>
      <c r="G80">
        <f>C80+E80</f>
        <v>105</v>
      </c>
      <c r="H80">
        <f t="shared" si="219"/>
        <v>9.0702947845804985E-7</v>
      </c>
      <c r="I80" s="8"/>
      <c r="J80">
        <v>493</v>
      </c>
      <c r="K80">
        <v>203</v>
      </c>
      <c r="L80">
        <v>1</v>
      </c>
      <c r="M80">
        <f t="shared" si="201"/>
        <v>2.4266543716178507E-5</v>
      </c>
      <c r="N80">
        <f t="shared" si="202"/>
        <v>2.5173573194636555E-5</v>
      </c>
      <c r="O80">
        <f t="shared" si="203"/>
        <v>5.0173272959451783E-3</v>
      </c>
      <c r="P80">
        <f t="shared" si="204"/>
        <v>2.4735423569009729</v>
      </c>
      <c r="R80" s="8">
        <v>595</v>
      </c>
      <c r="S80">
        <v>168</v>
      </c>
      <c r="T80">
        <v>1</v>
      </c>
      <c r="U80">
        <f t="shared" si="205"/>
        <v>3.5430839002267568E-5</v>
      </c>
      <c r="V80">
        <f t="shared" si="206"/>
        <v>3.6337868480725617E-5</v>
      </c>
      <c r="W80">
        <f t="shared" si="207"/>
        <v>6.0280899529391247E-3</v>
      </c>
      <c r="X80">
        <f t="shared" si="208"/>
        <v>3.5867135219987794</v>
      </c>
      <c r="Z80">
        <v>17.239999999999998</v>
      </c>
      <c r="AA80">
        <f t="shared" si="209"/>
        <v>2.5173573194636555E-5</v>
      </c>
      <c r="AB80">
        <f t="shared" si="210"/>
        <v>3.6337868480725617E-5</v>
      </c>
      <c r="AC80">
        <f t="shared" si="211"/>
        <v>6.1511441675362179E-5</v>
      </c>
      <c r="AD80">
        <f t="shared" si="212"/>
        <v>7.8429230313297217E-3</v>
      </c>
      <c r="AE80">
        <f t="shared" si="213"/>
        <v>0.13521199306012438</v>
      </c>
      <c r="AG80">
        <v>1.21</v>
      </c>
      <c r="AH80">
        <f t="shared" si="214"/>
        <v>2.5173573194636555E-5</v>
      </c>
      <c r="AI80">
        <f t="shared" si="215"/>
        <v>3.6337868480725617E-5</v>
      </c>
      <c r="AJ80">
        <f t="shared" si="216"/>
        <v>6.1511441675362179E-5</v>
      </c>
      <c r="AK80">
        <f t="shared" si="217"/>
        <v>7.8429230313297217E-3</v>
      </c>
      <c r="AL80">
        <f t="shared" si="218"/>
        <v>9.4899368679089626E-3</v>
      </c>
    </row>
    <row r="81" spans="1:38" x14ac:dyDescent="0.35">
      <c r="I81" s="8"/>
    </row>
    <row r="82" spans="1:38" x14ac:dyDescent="0.35">
      <c r="A82" s="32" t="s">
        <v>329</v>
      </c>
      <c r="B82">
        <v>0</v>
      </c>
      <c r="C82">
        <v>100</v>
      </c>
      <c r="D82">
        <v>0.1</v>
      </c>
      <c r="E82">
        <v>0</v>
      </c>
      <c r="F82">
        <v>0</v>
      </c>
      <c r="G82">
        <f>C82+E82</f>
        <v>100</v>
      </c>
      <c r="H82">
        <f>(D82/G82)^2</f>
        <v>9.9999999999999995E-7</v>
      </c>
      <c r="I82" s="8"/>
      <c r="J82">
        <v>1280</v>
      </c>
      <c r="K82">
        <v>78</v>
      </c>
      <c r="L82">
        <v>1</v>
      </c>
      <c r="M82">
        <f t="shared" ref="M82:M86" si="220">(L82/K82)^2</f>
        <v>1.6436554898093358E-4</v>
      </c>
      <c r="N82">
        <f t="shared" ref="N82:N86" si="221">H82+M82</f>
        <v>1.6536554898093357E-4</v>
      </c>
      <c r="O82">
        <f t="shared" ref="O82:O86" si="222">SQRT(N82)</f>
        <v>1.2859453681277971E-2</v>
      </c>
      <c r="P82">
        <f t="shared" ref="P82:P86" si="223">J82*O82</f>
        <v>16.460100712035803</v>
      </c>
      <c r="Q82" s="8"/>
      <c r="R82" s="8">
        <v>1440</v>
      </c>
      <c r="S82">
        <v>70</v>
      </c>
      <c r="T82">
        <v>1</v>
      </c>
      <c r="U82">
        <f t="shared" ref="U82:U86" si="224">(T82/S82)^2</f>
        <v>2.040816326530612E-4</v>
      </c>
      <c r="V82">
        <f t="shared" ref="V82:V86" si="225">H82+U82</f>
        <v>2.050816326530612E-4</v>
      </c>
      <c r="W82">
        <f t="shared" ref="W82:W86" si="226">SQRT(V82)</f>
        <v>1.4320671515437438E-2</v>
      </c>
      <c r="X82">
        <f t="shared" ref="X82:X86" si="227">R82*W82</f>
        <v>20.621766982229911</v>
      </c>
      <c r="Z82">
        <v>10.68</v>
      </c>
      <c r="AA82">
        <f t="shared" si="209"/>
        <v>1.6536554898093357E-4</v>
      </c>
      <c r="AB82">
        <f t="shared" si="210"/>
        <v>2.050816326530612E-4</v>
      </c>
      <c r="AC82">
        <f t="shared" ref="AC82:AC86" si="228">AA82+AB82</f>
        <v>3.7044718163399478E-4</v>
      </c>
      <c r="AD82">
        <f t="shared" ref="AD82:AD86" si="229">SQRT(AC82)</f>
        <v>1.9247004484698255E-2</v>
      </c>
      <c r="AE82">
        <f t="shared" ref="AE82:AE86" si="230">AD82*Z82</f>
        <v>0.20555800789657735</v>
      </c>
      <c r="AG82">
        <v>1.1200000000000001</v>
      </c>
      <c r="AH82">
        <f t="shared" ref="AH82:AH86" si="231">(P82/J82)^2</f>
        <v>1.6536554898093357E-4</v>
      </c>
      <c r="AI82">
        <f t="shared" ref="AI82:AI86" si="232">(X82/R82)^2</f>
        <v>2.050816326530612E-4</v>
      </c>
      <c r="AJ82">
        <f t="shared" ref="AJ82:AJ86" si="233">AH82+AI82</f>
        <v>3.7044718163399478E-4</v>
      </c>
      <c r="AK82">
        <f t="shared" ref="AK82:AK86" si="234">SQRT(AJ82)</f>
        <v>1.9247004484698255E-2</v>
      </c>
      <c r="AL82">
        <f t="shared" ref="AL82:AL86" si="235">AG82*AK82</f>
        <v>2.1556645022862048E-2</v>
      </c>
    </row>
    <row r="83" spans="1:38" x14ac:dyDescent="0.35">
      <c r="A83" s="32"/>
      <c r="B83">
        <v>0.5</v>
      </c>
      <c r="C83">
        <v>100</v>
      </c>
      <c r="D83">
        <v>0.1</v>
      </c>
      <c r="E83">
        <v>0.5</v>
      </c>
      <c r="F83">
        <v>0.1</v>
      </c>
      <c r="G83">
        <f>C83+E83</f>
        <v>100.5</v>
      </c>
      <c r="H83">
        <f t="shared" ref="H83:H86" si="236">(D83/G83)^2</f>
        <v>9.9007450310635896E-7</v>
      </c>
      <c r="I83" s="8"/>
      <c r="J83">
        <v>1196</v>
      </c>
      <c r="K83">
        <v>78</v>
      </c>
      <c r="L83">
        <v>1</v>
      </c>
      <c r="M83">
        <f t="shared" si="220"/>
        <v>1.6436554898093358E-4</v>
      </c>
      <c r="N83">
        <f t="shared" si="221"/>
        <v>1.6535562348403993E-4</v>
      </c>
      <c r="O83">
        <f t="shared" si="222"/>
        <v>1.2859067753303111E-2</v>
      </c>
      <c r="P83">
        <f t="shared" si="223"/>
        <v>15.379445032950521</v>
      </c>
      <c r="Q83" s="17"/>
      <c r="R83" s="8">
        <v>1316</v>
      </c>
      <c r="S83">
        <v>69</v>
      </c>
      <c r="T83">
        <v>1</v>
      </c>
      <c r="U83">
        <f t="shared" si="224"/>
        <v>2.1003990758244068E-4</v>
      </c>
      <c r="V83">
        <f t="shared" si="225"/>
        <v>2.1102998208554703E-4</v>
      </c>
      <c r="W83">
        <f t="shared" si="226"/>
        <v>1.4526871035620404E-2</v>
      </c>
      <c r="X83">
        <f t="shared" si="227"/>
        <v>19.117362282876453</v>
      </c>
      <c r="Z83">
        <v>9.16</v>
      </c>
      <c r="AA83">
        <f t="shared" si="209"/>
        <v>1.6535562348403993E-4</v>
      </c>
      <c r="AB83">
        <f t="shared" si="210"/>
        <v>2.1102998208554703E-4</v>
      </c>
      <c r="AC83">
        <f t="shared" si="228"/>
        <v>3.7638560556958696E-4</v>
      </c>
      <c r="AD83">
        <f t="shared" si="229"/>
        <v>1.9400659926136196E-2</v>
      </c>
      <c r="AE83">
        <f t="shared" si="230"/>
        <v>0.17771004492340756</v>
      </c>
      <c r="AG83">
        <v>1.1000000000000001</v>
      </c>
      <c r="AH83">
        <f t="shared" si="231"/>
        <v>1.6535562348403993E-4</v>
      </c>
      <c r="AI83">
        <f t="shared" si="232"/>
        <v>2.1102998208554703E-4</v>
      </c>
      <c r="AJ83">
        <f t="shared" si="233"/>
        <v>3.7638560556958696E-4</v>
      </c>
      <c r="AK83">
        <f t="shared" si="234"/>
        <v>1.9400659926136196E-2</v>
      </c>
      <c r="AL83">
        <f t="shared" si="235"/>
        <v>2.1340725918749817E-2</v>
      </c>
    </row>
    <row r="84" spans="1:38" x14ac:dyDescent="0.35">
      <c r="A84" s="32"/>
      <c r="B84">
        <v>1</v>
      </c>
      <c r="C84">
        <v>100</v>
      </c>
      <c r="D84">
        <v>0.1</v>
      </c>
      <c r="E84">
        <v>1</v>
      </c>
      <c r="F84">
        <v>0.1</v>
      </c>
      <c r="G84">
        <f>C84+E84</f>
        <v>101</v>
      </c>
      <c r="H84">
        <f t="shared" si="236"/>
        <v>9.802960494069209E-7</v>
      </c>
      <c r="I84" s="8"/>
      <c r="J84">
        <v>1163</v>
      </c>
      <c r="K84">
        <v>78</v>
      </c>
      <c r="L84">
        <v>1</v>
      </c>
      <c r="M84">
        <f t="shared" si="220"/>
        <v>1.6436554898093358E-4</v>
      </c>
      <c r="N84">
        <f t="shared" si="221"/>
        <v>1.653458450303405E-4</v>
      </c>
      <c r="O84">
        <f t="shared" si="222"/>
        <v>1.285868753140617E-2</v>
      </c>
      <c r="P84">
        <f t="shared" si="223"/>
        <v>14.954653599025375</v>
      </c>
      <c r="Q84" s="8"/>
      <c r="R84" s="8">
        <v>1230</v>
      </c>
      <c r="S84">
        <v>69</v>
      </c>
      <c r="T84">
        <v>1</v>
      </c>
      <c r="U84">
        <f t="shared" si="224"/>
        <v>2.1003990758244068E-4</v>
      </c>
      <c r="V84">
        <f t="shared" si="225"/>
        <v>2.110202036318476E-4</v>
      </c>
      <c r="W84">
        <f t="shared" si="226"/>
        <v>1.4526534467375472E-2</v>
      </c>
      <c r="X84">
        <f t="shared" si="227"/>
        <v>17.867637394871831</v>
      </c>
      <c r="Z84">
        <v>5.21</v>
      </c>
      <c r="AA84">
        <f t="shared" si="209"/>
        <v>1.653458450303405E-4</v>
      </c>
      <c r="AB84">
        <f t="shared" si="210"/>
        <v>2.110202036318476E-4</v>
      </c>
      <c r="AC84">
        <f t="shared" si="228"/>
        <v>3.763660486621881E-4</v>
      </c>
      <c r="AD84">
        <f t="shared" si="229"/>
        <v>1.9400155892729008E-2</v>
      </c>
      <c r="AE84">
        <f t="shared" si="230"/>
        <v>0.10107481220111812</v>
      </c>
      <c r="AG84">
        <v>1.05</v>
      </c>
      <c r="AH84">
        <f t="shared" si="231"/>
        <v>1.653458450303405E-4</v>
      </c>
      <c r="AI84">
        <f t="shared" si="232"/>
        <v>2.110202036318476E-4</v>
      </c>
      <c r="AJ84">
        <f t="shared" si="233"/>
        <v>3.763660486621881E-4</v>
      </c>
      <c r="AK84">
        <f t="shared" si="234"/>
        <v>1.9400155892729008E-2</v>
      </c>
      <c r="AL84">
        <f t="shared" si="235"/>
        <v>2.037016368736546E-2</v>
      </c>
    </row>
    <row r="85" spans="1:38" x14ac:dyDescent="0.35">
      <c r="A85" s="32"/>
      <c r="B85">
        <v>2.5</v>
      </c>
      <c r="C85">
        <v>100</v>
      </c>
      <c r="D85">
        <v>0.1</v>
      </c>
      <c r="E85">
        <v>2.5</v>
      </c>
      <c r="F85">
        <v>0.1</v>
      </c>
      <c r="G85">
        <f>C85+E85</f>
        <v>102.5</v>
      </c>
      <c r="H85">
        <f t="shared" si="236"/>
        <v>9.5181439619274262E-7</v>
      </c>
      <c r="I85" s="17"/>
      <c r="J85">
        <v>1000</v>
      </c>
      <c r="K85">
        <v>100</v>
      </c>
      <c r="L85">
        <v>1</v>
      </c>
      <c r="M85">
        <f t="shared" si="220"/>
        <v>1E-4</v>
      </c>
      <c r="N85">
        <f t="shared" si="221"/>
        <v>1.0095181439619275E-4</v>
      </c>
      <c r="O85">
        <f t="shared" si="222"/>
        <v>1.0047478011729748E-2</v>
      </c>
      <c r="P85">
        <f t="shared" si="223"/>
        <v>10.047478011729748</v>
      </c>
      <c r="Q85" s="8"/>
      <c r="R85" s="8">
        <v>1471</v>
      </c>
      <c r="S85">
        <v>68</v>
      </c>
      <c r="T85">
        <v>1</v>
      </c>
      <c r="U85">
        <f t="shared" si="224"/>
        <v>2.1626297577854672E-4</v>
      </c>
      <c r="V85">
        <f t="shared" si="225"/>
        <v>2.1721479017473947E-4</v>
      </c>
      <c r="W85">
        <f t="shared" si="226"/>
        <v>1.4738208513070354E-2</v>
      </c>
      <c r="X85">
        <f t="shared" si="227"/>
        <v>21.679904722726491</v>
      </c>
      <c r="Z85">
        <v>32</v>
      </c>
      <c r="AA85">
        <f t="shared" si="209"/>
        <v>1.0095181439619277E-4</v>
      </c>
      <c r="AB85">
        <f t="shared" si="210"/>
        <v>2.1721479017473947E-4</v>
      </c>
      <c r="AC85">
        <f t="shared" si="228"/>
        <v>3.1816660457093221E-4</v>
      </c>
      <c r="AD85">
        <f t="shared" si="229"/>
        <v>1.7837225248645939E-2</v>
      </c>
      <c r="AE85">
        <f t="shared" si="230"/>
        <v>0.57079120795667004</v>
      </c>
      <c r="AG85">
        <v>1.47</v>
      </c>
      <c r="AH85">
        <f t="shared" si="231"/>
        <v>1.0095181439619277E-4</v>
      </c>
      <c r="AI85">
        <f t="shared" si="232"/>
        <v>2.1721479017473947E-4</v>
      </c>
      <c r="AJ85">
        <f t="shared" si="233"/>
        <v>3.1816660457093221E-4</v>
      </c>
      <c r="AK85">
        <f t="shared" si="234"/>
        <v>1.7837225248645939E-2</v>
      </c>
      <c r="AL85">
        <f t="shared" si="235"/>
        <v>2.6220721115509528E-2</v>
      </c>
    </row>
    <row r="86" spans="1:38" x14ac:dyDescent="0.35">
      <c r="A86" s="32"/>
      <c r="B86">
        <v>5</v>
      </c>
      <c r="C86">
        <v>100</v>
      </c>
      <c r="D86">
        <v>0.1</v>
      </c>
      <c r="E86">
        <v>5</v>
      </c>
      <c r="F86">
        <v>0.1</v>
      </c>
      <c r="G86">
        <f>C86+E86</f>
        <v>105</v>
      </c>
      <c r="H86">
        <f t="shared" si="236"/>
        <v>9.0702947845804985E-7</v>
      </c>
      <c r="I86" s="8"/>
      <c r="J86">
        <v>1042</v>
      </c>
      <c r="K86">
        <v>96</v>
      </c>
      <c r="L86">
        <v>1</v>
      </c>
      <c r="M86">
        <f t="shared" si="220"/>
        <v>1.0850694444444444E-4</v>
      </c>
      <c r="N86">
        <f t="shared" si="221"/>
        <v>1.0941397392290249E-4</v>
      </c>
      <c r="O86">
        <f t="shared" si="222"/>
        <v>1.0460113475622647E-2</v>
      </c>
      <c r="P86">
        <f t="shared" si="223"/>
        <v>10.899438241598798</v>
      </c>
      <c r="Q86" s="17"/>
      <c r="R86" s="8">
        <v>1389</v>
      </c>
      <c r="S86">
        <v>72</v>
      </c>
      <c r="T86">
        <v>1</v>
      </c>
      <c r="U86">
        <f t="shared" si="224"/>
        <v>1.9290123456790122E-4</v>
      </c>
      <c r="V86">
        <f t="shared" si="225"/>
        <v>1.9380826404635928E-4</v>
      </c>
      <c r="W86">
        <f t="shared" si="226"/>
        <v>1.3921503656083968E-2</v>
      </c>
      <c r="X86">
        <f t="shared" si="227"/>
        <v>19.336968578300631</v>
      </c>
      <c r="Z86">
        <v>25</v>
      </c>
      <c r="AA86">
        <f t="shared" si="209"/>
        <v>1.0941397392290249E-4</v>
      </c>
      <c r="AB86">
        <f t="shared" si="210"/>
        <v>1.9380826404635931E-4</v>
      </c>
      <c r="AC86">
        <f t="shared" si="228"/>
        <v>3.0322223796926183E-4</v>
      </c>
      <c r="AD86">
        <f t="shared" si="229"/>
        <v>1.7413277634301415E-2</v>
      </c>
      <c r="AE86">
        <f t="shared" si="230"/>
        <v>0.43533194085753535</v>
      </c>
      <c r="AG86">
        <v>1.33</v>
      </c>
      <c r="AH86">
        <f t="shared" si="231"/>
        <v>1.0941397392290249E-4</v>
      </c>
      <c r="AI86">
        <f t="shared" si="232"/>
        <v>1.9380826404635931E-4</v>
      </c>
      <c r="AJ86">
        <f t="shared" si="233"/>
        <v>3.0322223796926183E-4</v>
      </c>
      <c r="AK86">
        <f t="shared" si="234"/>
        <v>1.7413277634301415E-2</v>
      </c>
      <c r="AL86">
        <f t="shared" si="235"/>
        <v>2.3159659253620884E-2</v>
      </c>
    </row>
    <row r="87" spans="1:38" x14ac:dyDescent="0.35">
      <c r="I87" s="8"/>
      <c r="Q87" s="8"/>
    </row>
    <row r="88" spans="1:38" x14ac:dyDescent="0.35">
      <c r="A88" s="32" t="s">
        <v>330</v>
      </c>
      <c r="B88">
        <v>0</v>
      </c>
      <c r="C88">
        <v>100</v>
      </c>
      <c r="D88">
        <v>0.1</v>
      </c>
      <c r="E88">
        <v>0</v>
      </c>
      <c r="F88">
        <v>0</v>
      </c>
      <c r="G88">
        <f>C88+E88</f>
        <v>100</v>
      </c>
      <c r="H88">
        <f>(D88/G88)^2</f>
        <v>9.9999999999999995E-7</v>
      </c>
      <c r="I88" s="8"/>
      <c r="J88">
        <v>1180</v>
      </c>
      <c r="K88">
        <v>85</v>
      </c>
      <c r="L88">
        <v>1</v>
      </c>
      <c r="M88">
        <f t="shared" ref="M88:M92" si="237">(L88/K88)^2</f>
        <v>1.3840830449826988E-4</v>
      </c>
      <c r="N88">
        <f t="shared" ref="N88:N92" si="238">H88+M88</f>
        <v>1.3940830449826988E-4</v>
      </c>
      <c r="O88">
        <f t="shared" ref="O88:O92" si="239">SQRT(N88)</f>
        <v>1.1807129392797806E-2</v>
      </c>
      <c r="P88">
        <f t="shared" ref="P88:P92" si="240">J88*O88</f>
        <v>13.932412683501411</v>
      </c>
      <c r="Q88" s="8"/>
      <c r="R88" s="8">
        <v>1370</v>
      </c>
      <c r="S88">
        <v>73</v>
      </c>
      <c r="T88">
        <v>1</v>
      </c>
      <c r="U88">
        <f t="shared" ref="U88:U92" si="241">(T88/S88)^2</f>
        <v>1.8765246762994932E-4</v>
      </c>
      <c r="V88">
        <f t="shared" ref="V88:V92" si="242">H88+U88</f>
        <v>1.8865246762994931E-4</v>
      </c>
      <c r="W88">
        <f t="shared" ref="W88:W92" si="243">SQRT(V88)</f>
        <v>1.373508163899834E-2</v>
      </c>
      <c r="X88">
        <f t="shared" ref="X88:X92" si="244">R88*W88</f>
        <v>18.817061845427727</v>
      </c>
      <c r="Z88">
        <v>13.37</v>
      </c>
      <c r="AA88">
        <f t="shared" si="209"/>
        <v>1.3940830449826988E-4</v>
      </c>
      <c r="AB88">
        <f t="shared" si="210"/>
        <v>1.8865246762994934E-4</v>
      </c>
      <c r="AC88">
        <f t="shared" ref="AC88:AC92" si="245">AA88+AB88</f>
        <v>3.2806077212821924E-4</v>
      </c>
      <c r="AD88">
        <f t="shared" ref="AD88:AD92" si="246">SQRT(AC88)</f>
        <v>1.811244798828196E-2</v>
      </c>
      <c r="AE88">
        <f t="shared" ref="AE88:AE92" si="247">AD88*Z88</f>
        <v>0.24216342960332979</v>
      </c>
      <c r="AG88">
        <v>1.1499999999999999</v>
      </c>
      <c r="AH88">
        <f t="shared" ref="AH88:AH92" si="248">(P88/J88)^2</f>
        <v>1.3940830449826988E-4</v>
      </c>
      <c r="AI88">
        <f t="shared" ref="AI88:AI92" si="249">(X88/R88)^2</f>
        <v>1.8865246762994934E-4</v>
      </c>
      <c r="AJ88">
        <f t="shared" ref="AJ88:AJ92" si="250">AH88+AI88</f>
        <v>3.2806077212821924E-4</v>
      </c>
      <c r="AK88">
        <f t="shared" ref="AK88:AK92" si="251">SQRT(AJ88)</f>
        <v>1.811244798828196E-2</v>
      </c>
      <c r="AL88">
        <f t="shared" ref="AL88:AL92" si="252">AG88*AK88</f>
        <v>2.0829315186524252E-2</v>
      </c>
    </row>
    <row r="89" spans="1:38" x14ac:dyDescent="0.35">
      <c r="A89" s="32"/>
      <c r="B89">
        <v>0.5</v>
      </c>
      <c r="C89">
        <v>100</v>
      </c>
      <c r="D89">
        <v>0.1</v>
      </c>
      <c r="E89">
        <v>0.5</v>
      </c>
      <c r="F89">
        <v>0.1</v>
      </c>
      <c r="G89">
        <f>C89+E89</f>
        <v>100.5</v>
      </c>
      <c r="H89">
        <f t="shared" ref="H89:H92" si="253">(D89/G89)^2</f>
        <v>9.9007450310635896E-7</v>
      </c>
      <c r="I89" s="8"/>
      <c r="J89">
        <v>1111</v>
      </c>
      <c r="K89">
        <v>90</v>
      </c>
      <c r="L89">
        <v>1</v>
      </c>
      <c r="M89">
        <f t="shared" si="237"/>
        <v>1.2345679012345679E-4</v>
      </c>
      <c r="N89">
        <f t="shared" si="238"/>
        <v>1.2444686462656314E-4</v>
      </c>
      <c r="O89">
        <f t="shared" si="239"/>
        <v>1.1155575495085996E-2</v>
      </c>
      <c r="P89">
        <f t="shared" si="240"/>
        <v>12.39384437504054</v>
      </c>
      <c r="Q89" s="8"/>
      <c r="R89" s="8">
        <v>1282</v>
      </c>
      <c r="S89">
        <v>78</v>
      </c>
      <c r="T89">
        <v>1</v>
      </c>
      <c r="U89">
        <f t="shared" si="241"/>
        <v>1.6436554898093358E-4</v>
      </c>
      <c r="V89">
        <f t="shared" si="242"/>
        <v>1.6535562348403993E-4</v>
      </c>
      <c r="W89">
        <f t="shared" si="243"/>
        <v>1.2859067753303111E-2</v>
      </c>
      <c r="X89">
        <f t="shared" si="244"/>
        <v>16.48532485973459</v>
      </c>
      <c r="Z89">
        <v>13.33</v>
      </c>
      <c r="AA89">
        <f t="shared" si="209"/>
        <v>1.2444686462656317E-4</v>
      </c>
      <c r="AB89">
        <f t="shared" si="210"/>
        <v>1.6535562348403996E-4</v>
      </c>
      <c r="AC89">
        <f t="shared" si="245"/>
        <v>2.8980248811060313E-4</v>
      </c>
      <c r="AD89">
        <f t="shared" si="246"/>
        <v>1.7023586229423082E-2</v>
      </c>
      <c r="AE89">
        <f t="shared" si="247"/>
        <v>0.22692440443820969</v>
      </c>
      <c r="AG89">
        <v>1.1499999999999999</v>
      </c>
      <c r="AH89">
        <f t="shared" si="248"/>
        <v>1.2444686462656317E-4</v>
      </c>
      <c r="AI89">
        <f t="shared" si="249"/>
        <v>1.6535562348403996E-4</v>
      </c>
      <c r="AJ89">
        <f t="shared" si="250"/>
        <v>2.8980248811060313E-4</v>
      </c>
      <c r="AK89">
        <f t="shared" si="251"/>
        <v>1.7023586229423082E-2</v>
      </c>
      <c r="AL89">
        <f t="shared" si="252"/>
        <v>1.9577124163836543E-2</v>
      </c>
    </row>
    <row r="90" spans="1:38" x14ac:dyDescent="0.35">
      <c r="A90" s="32"/>
      <c r="B90">
        <v>1</v>
      </c>
      <c r="C90">
        <v>100</v>
      </c>
      <c r="D90">
        <v>0.1</v>
      </c>
      <c r="E90">
        <v>1</v>
      </c>
      <c r="F90">
        <v>0.1</v>
      </c>
      <c r="G90">
        <f>C90+E90</f>
        <v>101</v>
      </c>
      <c r="H90">
        <f t="shared" si="253"/>
        <v>9.802960494069209E-7</v>
      </c>
      <c r="I90" s="8"/>
      <c r="J90">
        <v>1111</v>
      </c>
      <c r="K90">
        <v>90</v>
      </c>
      <c r="L90">
        <v>1</v>
      </c>
      <c r="M90">
        <f t="shared" si="237"/>
        <v>1.2345679012345679E-4</v>
      </c>
      <c r="N90">
        <f t="shared" si="238"/>
        <v>1.2443708617286371E-4</v>
      </c>
      <c r="O90">
        <f t="shared" si="239"/>
        <v>1.115513720995236E-2</v>
      </c>
      <c r="P90">
        <f t="shared" si="240"/>
        <v>12.393357440257072</v>
      </c>
      <c r="Q90" s="17"/>
      <c r="R90" s="8">
        <v>1429</v>
      </c>
      <c r="S90">
        <v>70</v>
      </c>
      <c r="T90">
        <v>1</v>
      </c>
      <c r="U90">
        <f t="shared" si="241"/>
        <v>2.040816326530612E-4</v>
      </c>
      <c r="V90">
        <f t="shared" si="242"/>
        <v>2.0506192870246813E-4</v>
      </c>
      <c r="W90">
        <f t="shared" si="243"/>
        <v>1.4319983544071135E-2</v>
      </c>
      <c r="X90">
        <f t="shared" si="244"/>
        <v>20.46325648447765</v>
      </c>
      <c r="Z90">
        <v>22.22</v>
      </c>
      <c r="AA90">
        <f t="shared" si="209"/>
        <v>1.2443708617286371E-4</v>
      </c>
      <c r="AB90">
        <f t="shared" si="210"/>
        <v>2.0506192870246804E-4</v>
      </c>
      <c r="AC90">
        <f t="shared" si="245"/>
        <v>3.2949901487533179E-4</v>
      </c>
      <c r="AD90">
        <f t="shared" si="246"/>
        <v>1.8152107725422185E-2</v>
      </c>
      <c r="AE90">
        <f t="shared" si="247"/>
        <v>0.40333983365888093</v>
      </c>
      <c r="AG90">
        <v>1.29</v>
      </c>
      <c r="AH90">
        <f t="shared" si="248"/>
        <v>1.2443708617286371E-4</v>
      </c>
      <c r="AI90">
        <f t="shared" si="249"/>
        <v>2.0506192870246804E-4</v>
      </c>
      <c r="AJ90">
        <f t="shared" si="250"/>
        <v>3.2949901487533179E-4</v>
      </c>
      <c r="AK90">
        <f t="shared" si="251"/>
        <v>1.8152107725422185E-2</v>
      </c>
      <c r="AL90">
        <f t="shared" si="252"/>
        <v>2.341621896579462E-2</v>
      </c>
    </row>
    <row r="91" spans="1:38" x14ac:dyDescent="0.35">
      <c r="A91" s="32"/>
      <c r="B91">
        <v>2.5</v>
      </c>
      <c r="C91">
        <v>100</v>
      </c>
      <c r="D91">
        <v>0.1</v>
      </c>
      <c r="E91">
        <v>2.5</v>
      </c>
      <c r="F91">
        <v>0.1</v>
      </c>
      <c r="G91">
        <f>C91+E91</f>
        <v>102.5</v>
      </c>
      <c r="H91">
        <f t="shared" si="253"/>
        <v>9.5181439619274262E-7</v>
      </c>
      <c r="I91" s="17"/>
      <c r="J91">
        <v>909</v>
      </c>
      <c r="K91">
        <v>110</v>
      </c>
      <c r="L91">
        <v>1</v>
      </c>
      <c r="M91">
        <f t="shared" si="237"/>
        <v>8.2644628099173546E-5</v>
      </c>
      <c r="N91">
        <f t="shared" si="238"/>
        <v>8.3596442495366294E-5</v>
      </c>
      <c r="O91">
        <f t="shared" si="239"/>
        <v>9.1431090169245104E-3</v>
      </c>
      <c r="P91">
        <f t="shared" si="240"/>
        <v>8.3110860963843791</v>
      </c>
      <c r="Q91" s="8"/>
      <c r="R91" s="8">
        <v>1389</v>
      </c>
      <c r="S91">
        <v>72</v>
      </c>
      <c r="T91">
        <v>1</v>
      </c>
      <c r="U91">
        <f t="shared" si="241"/>
        <v>1.9290123456790122E-4</v>
      </c>
      <c r="V91">
        <f t="shared" si="242"/>
        <v>1.9385304896409397E-4</v>
      </c>
      <c r="W91">
        <f t="shared" si="243"/>
        <v>1.3923112043077652E-2</v>
      </c>
      <c r="X91">
        <f t="shared" si="244"/>
        <v>19.339202627834858</v>
      </c>
      <c r="Z91">
        <v>34.5</v>
      </c>
      <c r="AA91">
        <f t="shared" si="209"/>
        <v>8.3596442495366253E-5</v>
      </c>
      <c r="AB91">
        <f t="shared" si="210"/>
        <v>1.9385304896409394E-4</v>
      </c>
      <c r="AC91">
        <f t="shared" si="245"/>
        <v>2.7744949145946018E-4</v>
      </c>
      <c r="AD91">
        <f t="shared" si="246"/>
        <v>1.6656815165554915E-2</v>
      </c>
      <c r="AE91">
        <f t="shared" si="247"/>
        <v>0.57466012321164461</v>
      </c>
      <c r="AG91">
        <v>1.53</v>
      </c>
      <c r="AH91">
        <f t="shared" si="248"/>
        <v>8.3596442495366253E-5</v>
      </c>
      <c r="AI91">
        <f t="shared" si="249"/>
        <v>1.9385304896409394E-4</v>
      </c>
      <c r="AJ91">
        <f t="shared" si="250"/>
        <v>2.7744949145946018E-4</v>
      </c>
      <c r="AK91">
        <f t="shared" si="251"/>
        <v>1.6656815165554915E-2</v>
      </c>
      <c r="AL91">
        <f t="shared" si="252"/>
        <v>2.5484927203299021E-2</v>
      </c>
    </row>
    <row r="92" spans="1:38" x14ac:dyDescent="0.35">
      <c r="A92" s="32"/>
      <c r="B92">
        <v>5</v>
      </c>
      <c r="C92">
        <v>100</v>
      </c>
      <c r="D92">
        <v>0.1</v>
      </c>
      <c r="E92">
        <v>5</v>
      </c>
      <c r="F92">
        <v>0.1</v>
      </c>
      <c r="G92">
        <f>C92+E92</f>
        <v>105</v>
      </c>
      <c r="H92">
        <f t="shared" si="253"/>
        <v>9.0702947845804985E-7</v>
      </c>
      <c r="I92" s="8"/>
      <c r="J92">
        <v>1064</v>
      </c>
      <c r="K92">
        <v>94</v>
      </c>
      <c r="L92">
        <v>1</v>
      </c>
      <c r="M92">
        <f t="shared" si="237"/>
        <v>1.1317338162064282E-4</v>
      </c>
      <c r="N92">
        <f t="shared" si="238"/>
        <v>1.1408041109910088E-4</v>
      </c>
      <c r="O92">
        <f t="shared" si="239"/>
        <v>1.0680843182965513E-2</v>
      </c>
      <c r="P92">
        <f t="shared" si="240"/>
        <v>11.364417146675306</v>
      </c>
      <c r="Q92" s="8"/>
      <c r="R92" s="8">
        <v>1163</v>
      </c>
      <c r="S92">
        <v>86</v>
      </c>
      <c r="T92">
        <v>1</v>
      </c>
      <c r="U92">
        <f t="shared" si="241"/>
        <v>1.352082206598161E-4</v>
      </c>
      <c r="V92">
        <f t="shared" si="242"/>
        <v>1.3611525013827416E-4</v>
      </c>
      <c r="W92">
        <f t="shared" si="243"/>
        <v>1.1666844052196555E-2</v>
      </c>
      <c r="X92">
        <f t="shared" si="244"/>
        <v>13.568539632704594</v>
      </c>
      <c r="Z92">
        <v>8.51</v>
      </c>
      <c r="AA92">
        <f t="shared" si="209"/>
        <v>1.1408041109910088E-4</v>
      </c>
      <c r="AB92">
        <f t="shared" si="210"/>
        <v>1.3611525013827413E-4</v>
      </c>
      <c r="AC92">
        <f t="shared" si="245"/>
        <v>2.5019566123737501E-4</v>
      </c>
      <c r="AD92">
        <f t="shared" si="246"/>
        <v>1.5817574442289657E-2</v>
      </c>
      <c r="AE92">
        <f t="shared" si="247"/>
        <v>0.13460755850388498</v>
      </c>
      <c r="AG92">
        <v>1.0900000000000001</v>
      </c>
      <c r="AH92">
        <f t="shared" si="248"/>
        <v>1.1408041109910088E-4</v>
      </c>
      <c r="AI92">
        <f t="shared" si="249"/>
        <v>1.3611525013827413E-4</v>
      </c>
      <c r="AJ92">
        <f t="shared" si="250"/>
        <v>2.5019566123737501E-4</v>
      </c>
      <c r="AK92">
        <f t="shared" si="251"/>
        <v>1.5817574442289657E-2</v>
      </c>
      <c r="AL92">
        <f t="shared" si="252"/>
        <v>1.7241156142095728E-2</v>
      </c>
    </row>
    <row r="93" spans="1:38" x14ac:dyDescent="0.35">
      <c r="I93" s="8"/>
      <c r="Q93" s="8"/>
    </row>
    <row r="94" spans="1:38" x14ac:dyDescent="0.35">
      <c r="A94" s="32" t="s">
        <v>16</v>
      </c>
      <c r="B94">
        <v>0</v>
      </c>
      <c r="C94">
        <v>100</v>
      </c>
      <c r="D94">
        <v>0.1</v>
      </c>
      <c r="E94">
        <v>0</v>
      </c>
      <c r="F94">
        <v>0</v>
      </c>
      <c r="G94">
        <f>C94+E94</f>
        <v>100</v>
      </c>
      <c r="H94">
        <f>(D94/G94)^2</f>
        <v>9.9999999999999995E-7</v>
      </c>
      <c r="I94" s="8"/>
      <c r="J94">
        <v>1564</v>
      </c>
      <c r="K94">
        <v>64</v>
      </c>
      <c r="L94">
        <v>1</v>
      </c>
      <c r="M94">
        <f t="shared" ref="M94:M98" si="254">(L94/K94)^2</f>
        <v>2.44140625E-4</v>
      </c>
      <c r="N94">
        <f t="shared" ref="N94:N98" si="255">H94+M94</f>
        <v>2.4514062500000002E-4</v>
      </c>
      <c r="O94">
        <f t="shared" ref="O94:O98" si="256">SQRT(N94)</f>
        <v>1.5656967298937556E-2</v>
      </c>
      <c r="P94">
        <f t="shared" ref="P94:P98" si="257">J94*O94</f>
        <v>24.487496855538339</v>
      </c>
      <c r="Q94" s="8"/>
      <c r="R94" s="8">
        <v>1564</v>
      </c>
      <c r="S94">
        <v>64</v>
      </c>
      <c r="T94">
        <v>1</v>
      </c>
      <c r="U94">
        <f t="shared" ref="U94:U98" si="258">(T94/S94)^2</f>
        <v>2.44140625E-4</v>
      </c>
      <c r="V94">
        <f t="shared" ref="V94:V98" si="259">H94+U94</f>
        <v>2.4514062500000002E-4</v>
      </c>
      <c r="W94">
        <f t="shared" ref="W94:W98" si="260">SQRT(V94)</f>
        <v>1.5656967298937556E-2</v>
      </c>
      <c r="X94">
        <f t="shared" ref="X94:X98" si="261">R94*W94</f>
        <v>24.487496855538339</v>
      </c>
      <c r="Z94">
        <v>0</v>
      </c>
      <c r="AA94">
        <f t="shared" si="209"/>
        <v>2.4514062499999997E-4</v>
      </c>
      <c r="AB94">
        <f t="shared" si="210"/>
        <v>2.4514062499999997E-4</v>
      </c>
      <c r="AC94">
        <f t="shared" ref="AC94:AC98" si="262">AA94+AB94</f>
        <v>4.9028124999999994E-4</v>
      </c>
      <c r="AD94">
        <f t="shared" ref="AD94:AD98" si="263">SQRT(AC94)</f>
        <v>2.2142295499789535E-2</v>
      </c>
      <c r="AE94">
        <f t="shared" ref="AE94:AE98" si="264">AD94*Z94</f>
        <v>0</v>
      </c>
      <c r="AG94">
        <v>1</v>
      </c>
      <c r="AH94">
        <f t="shared" ref="AH94:AH98" si="265">(P94/J94)^2</f>
        <v>2.4514062499999997E-4</v>
      </c>
      <c r="AI94">
        <f t="shared" ref="AI94:AI98" si="266">(X94/R94)^2</f>
        <v>2.4514062499999997E-4</v>
      </c>
      <c r="AJ94">
        <f t="shared" ref="AJ94:AJ98" si="267">AH94+AI94</f>
        <v>4.9028124999999994E-4</v>
      </c>
      <c r="AK94">
        <f t="shared" ref="AK94:AK98" si="268">SQRT(AJ94)</f>
        <v>2.2142295499789535E-2</v>
      </c>
      <c r="AL94">
        <f t="shared" ref="AL94:AL98" si="269">AG94*AK94</f>
        <v>2.2142295499789535E-2</v>
      </c>
    </row>
    <row r="95" spans="1:38" x14ac:dyDescent="0.35">
      <c r="A95" s="32"/>
      <c r="B95">
        <v>0.5</v>
      </c>
      <c r="C95">
        <v>100</v>
      </c>
      <c r="D95">
        <v>0.1</v>
      </c>
      <c r="E95">
        <v>0.5</v>
      </c>
      <c r="F95">
        <v>0.1</v>
      </c>
      <c r="G95">
        <f>C95+E95</f>
        <v>100.5</v>
      </c>
      <c r="H95">
        <f t="shared" ref="H95:H98" si="270">(D95/G95)^2</f>
        <v>9.9007450310635896E-7</v>
      </c>
      <c r="I95" s="8"/>
      <c r="J95">
        <v>1429</v>
      </c>
      <c r="K95">
        <v>70</v>
      </c>
      <c r="L95">
        <v>1</v>
      </c>
      <c r="M95">
        <f t="shared" si="254"/>
        <v>2.040816326530612E-4</v>
      </c>
      <c r="N95">
        <f t="shared" si="255"/>
        <v>2.0507170715616756E-4</v>
      </c>
      <c r="O95">
        <f t="shared" si="256"/>
        <v>1.4320324966849306E-2</v>
      </c>
      <c r="P95">
        <f t="shared" si="257"/>
        <v>20.463744377627659</v>
      </c>
      <c r="R95" s="8">
        <v>1667</v>
      </c>
      <c r="S95">
        <v>60</v>
      </c>
      <c r="T95">
        <v>1</v>
      </c>
      <c r="U95">
        <f t="shared" si="258"/>
        <v>2.7777777777777778E-4</v>
      </c>
      <c r="V95">
        <f t="shared" si="259"/>
        <v>2.7876785228088413E-4</v>
      </c>
      <c r="W95">
        <f t="shared" si="260"/>
        <v>1.6696342482139137E-2</v>
      </c>
      <c r="X95">
        <f t="shared" si="261"/>
        <v>27.832802917725942</v>
      </c>
      <c r="Z95">
        <v>14.29</v>
      </c>
      <c r="AA95">
        <f t="shared" si="209"/>
        <v>2.0507170715616758E-4</v>
      </c>
      <c r="AB95">
        <f t="shared" si="210"/>
        <v>2.7876785228088407E-4</v>
      </c>
      <c r="AC95">
        <f t="shared" si="262"/>
        <v>4.8383955943705166E-4</v>
      </c>
      <c r="AD95">
        <f t="shared" si="263"/>
        <v>2.1996353321336055E-2</v>
      </c>
      <c r="AE95">
        <f t="shared" si="264"/>
        <v>0.31432788896189218</v>
      </c>
      <c r="AG95">
        <v>1.17</v>
      </c>
      <c r="AH95">
        <f t="shared" si="265"/>
        <v>2.0507170715616758E-4</v>
      </c>
      <c r="AI95">
        <f t="shared" si="266"/>
        <v>2.7876785228088407E-4</v>
      </c>
      <c r="AJ95">
        <f t="shared" si="267"/>
        <v>4.8383955943705166E-4</v>
      </c>
      <c r="AK95">
        <f t="shared" si="268"/>
        <v>2.1996353321336055E-2</v>
      </c>
      <c r="AL95">
        <f t="shared" si="269"/>
        <v>2.5735733385963182E-2</v>
      </c>
    </row>
    <row r="96" spans="1:38" x14ac:dyDescent="0.35">
      <c r="A96" s="32"/>
      <c r="B96">
        <v>1</v>
      </c>
      <c r="C96">
        <v>100</v>
      </c>
      <c r="D96">
        <v>0.1</v>
      </c>
      <c r="E96">
        <v>1</v>
      </c>
      <c r="F96">
        <v>0.1</v>
      </c>
      <c r="G96">
        <f>C96+E96</f>
        <v>101</v>
      </c>
      <c r="H96">
        <f t="shared" si="270"/>
        <v>9.802960494069209E-7</v>
      </c>
      <c r="I96" s="17"/>
      <c r="J96">
        <v>1471</v>
      </c>
      <c r="K96">
        <v>68</v>
      </c>
      <c r="L96">
        <v>1</v>
      </c>
      <c r="M96">
        <f t="shared" si="254"/>
        <v>2.1626297577854672E-4</v>
      </c>
      <c r="N96">
        <f t="shared" si="255"/>
        <v>2.1724327182795364E-4</v>
      </c>
      <c r="O96">
        <f t="shared" si="256"/>
        <v>1.4739174733612246E-2</v>
      </c>
      <c r="P96">
        <f t="shared" si="257"/>
        <v>21.681326033143613</v>
      </c>
      <c r="R96" s="8">
        <v>1667</v>
      </c>
      <c r="S96">
        <v>60</v>
      </c>
      <c r="T96">
        <v>1</v>
      </c>
      <c r="U96">
        <f t="shared" si="258"/>
        <v>2.7777777777777778E-4</v>
      </c>
      <c r="V96">
        <f t="shared" si="259"/>
        <v>2.787580738271847E-4</v>
      </c>
      <c r="W96">
        <f t="shared" si="260"/>
        <v>1.6696049647362238E-2</v>
      </c>
      <c r="X96">
        <f t="shared" si="261"/>
        <v>27.832314762152851</v>
      </c>
      <c r="Z96">
        <v>11.76</v>
      </c>
      <c r="AA96">
        <f t="shared" si="209"/>
        <v>2.1724327182795359E-4</v>
      </c>
      <c r="AB96">
        <f t="shared" si="210"/>
        <v>2.787580738271847E-4</v>
      </c>
      <c r="AC96">
        <f t="shared" si="262"/>
        <v>4.9600134565513823E-4</v>
      </c>
      <c r="AD96">
        <f t="shared" si="263"/>
        <v>2.2271087662149289E-2</v>
      </c>
      <c r="AE96">
        <f t="shared" si="264"/>
        <v>0.26190799090687561</v>
      </c>
      <c r="AG96">
        <v>1.1299999999999999</v>
      </c>
      <c r="AH96">
        <f t="shared" si="265"/>
        <v>2.1724327182795359E-4</v>
      </c>
      <c r="AI96">
        <f t="shared" si="266"/>
        <v>2.787580738271847E-4</v>
      </c>
      <c r="AJ96">
        <f t="shared" si="267"/>
        <v>4.9600134565513823E-4</v>
      </c>
      <c r="AK96">
        <f t="shared" si="268"/>
        <v>2.2271087662149289E-2</v>
      </c>
      <c r="AL96">
        <f t="shared" si="269"/>
        <v>2.5166329058228694E-2</v>
      </c>
    </row>
    <row r="97" spans="1:38" x14ac:dyDescent="0.35">
      <c r="A97" s="32"/>
      <c r="B97">
        <v>2.5</v>
      </c>
      <c r="C97">
        <v>100</v>
      </c>
      <c r="D97">
        <v>0.1</v>
      </c>
      <c r="E97">
        <v>2.5</v>
      </c>
      <c r="F97">
        <v>0.1</v>
      </c>
      <c r="G97">
        <f>C97+E97</f>
        <v>102.5</v>
      </c>
      <c r="H97">
        <f t="shared" si="270"/>
        <v>9.5181439619274262E-7</v>
      </c>
      <c r="I97" s="8"/>
      <c r="J97">
        <v>1613</v>
      </c>
      <c r="K97">
        <v>62</v>
      </c>
      <c r="L97">
        <v>1</v>
      </c>
      <c r="M97">
        <f t="shared" si="254"/>
        <v>2.6014568158168571E-4</v>
      </c>
      <c r="N97">
        <f t="shared" si="255"/>
        <v>2.6109749597787846E-4</v>
      </c>
      <c r="O97">
        <f t="shared" si="256"/>
        <v>1.615851156443187E-2</v>
      </c>
      <c r="P97">
        <f t="shared" si="257"/>
        <v>26.063679153428605</v>
      </c>
      <c r="Q97" s="8"/>
      <c r="R97" s="8">
        <v>1667</v>
      </c>
      <c r="S97">
        <v>60</v>
      </c>
      <c r="T97">
        <v>1</v>
      </c>
      <c r="U97">
        <f t="shared" si="258"/>
        <v>2.7777777777777778E-4</v>
      </c>
      <c r="V97">
        <f t="shared" si="259"/>
        <v>2.7872959217397053E-4</v>
      </c>
      <c r="W97">
        <f t="shared" si="260"/>
        <v>1.6695196679703133E-2</v>
      </c>
      <c r="X97">
        <f t="shared" si="261"/>
        <v>27.830892865065124</v>
      </c>
      <c r="Z97">
        <v>3.8</v>
      </c>
      <c r="AA97">
        <f t="shared" si="209"/>
        <v>2.6109749597787846E-4</v>
      </c>
      <c r="AB97">
        <f t="shared" si="210"/>
        <v>2.7872959217397053E-4</v>
      </c>
      <c r="AC97">
        <f t="shared" si="262"/>
        <v>5.3982708815184899E-4</v>
      </c>
      <c r="AD97">
        <f t="shared" si="263"/>
        <v>2.3234179308765115E-2</v>
      </c>
      <c r="AE97">
        <f t="shared" si="264"/>
        <v>8.8289881373307427E-2</v>
      </c>
      <c r="AG97">
        <v>1.0329999999999999</v>
      </c>
      <c r="AH97">
        <f t="shared" si="265"/>
        <v>2.6109749597787846E-4</v>
      </c>
      <c r="AI97">
        <f t="shared" si="266"/>
        <v>2.7872959217397053E-4</v>
      </c>
      <c r="AJ97">
        <f t="shared" si="267"/>
        <v>5.3982708815184899E-4</v>
      </c>
      <c r="AK97">
        <f t="shared" si="268"/>
        <v>2.3234179308765115E-2</v>
      </c>
      <c r="AL97">
        <f t="shared" si="269"/>
        <v>2.4000907225954361E-2</v>
      </c>
    </row>
    <row r="98" spans="1:38" x14ac:dyDescent="0.35">
      <c r="A98" s="32"/>
      <c r="B98">
        <v>5</v>
      </c>
      <c r="C98">
        <v>100</v>
      </c>
      <c r="D98">
        <v>0.1</v>
      </c>
      <c r="E98">
        <v>5</v>
      </c>
      <c r="F98">
        <v>0.1</v>
      </c>
      <c r="G98">
        <f>C98+E98</f>
        <v>105</v>
      </c>
      <c r="H98">
        <f t="shared" si="270"/>
        <v>9.0702947845804985E-7</v>
      </c>
      <c r="I98" s="8"/>
      <c r="J98">
        <v>1449</v>
      </c>
      <c r="K98">
        <v>69</v>
      </c>
      <c r="L98">
        <v>1</v>
      </c>
      <c r="M98">
        <f t="shared" si="254"/>
        <v>2.1003990758244068E-4</v>
      </c>
      <c r="N98">
        <f t="shared" si="255"/>
        <v>2.1094693706089873E-4</v>
      </c>
      <c r="O98">
        <f t="shared" si="256"/>
        <v>1.4524012429797034E-2</v>
      </c>
      <c r="P98">
        <f t="shared" si="257"/>
        <v>21.045294010775901</v>
      </c>
      <c r="Q98" s="17"/>
      <c r="R98" s="8">
        <v>1667</v>
      </c>
      <c r="S98">
        <v>60</v>
      </c>
      <c r="T98">
        <v>1</v>
      </c>
      <c r="U98">
        <f t="shared" si="258"/>
        <v>2.7777777777777778E-4</v>
      </c>
      <c r="V98">
        <f t="shared" si="259"/>
        <v>2.7868480725623583E-4</v>
      </c>
      <c r="W98">
        <f t="shared" si="260"/>
        <v>1.6693855374245812E-2</v>
      </c>
      <c r="X98">
        <f t="shared" si="261"/>
        <v>27.828656908867767</v>
      </c>
      <c r="Z98">
        <v>13.04</v>
      </c>
      <c r="AA98">
        <f t="shared" si="209"/>
        <v>2.1094693706089873E-4</v>
      </c>
      <c r="AB98">
        <f>(X98/R98)^2</f>
        <v>2.7868480725623578E-4</v>
      </c>
      <c r="AC98">
        <f t="shared" si="262"/>
        <v>4.8963174431713454E-4</v>
      </c>
      <c r="AD98">
        <f t="shared" si="263"/>
        <v>2.2127624009756097E-2</v>
      </c>
      <c r="AE98">
        <f t="shared" si="264"/>
        <v>0.2885442170872195</v>
      </c>
      <c r="AG98">
        <v>1.1499999999999999</v>
      </c>
      <c r="AH98">
        <f t="shared" si="265"/>
        <v>2.1094693706089873E-4</v>
      </c>
      <c r="AI98">
        <f t="shared" si="266"/>
        <v>2.7868480725623578E-4</v>
      </c>
      <c r="AJ98">
        <f t="shared" si="267"/>
        <v>4.8963174431713454E-4</v>
      </c>
      <c r="AK98">
        <f t="shared" si="268"/>
        <v>2.2127624009756097E-2</v>
      </c>
      <c r="AL98">
        <f t="shared" si="269"/>
        <v>2.5446767611219511E-2</v>
      </c>
    </row>
    <row r="99" spans="1:38" x14ac:dyDescent="0.35">
      <c r="I99" s="8"/>
      <c r="Q99" s="8"/>
    </row>
    <row r="100" spans="1:38" x14ac:dyDescent="0.35">
      <c r="I100" s="8"/>
      <c r="Q100" s="8"/>
    </row>
    <row r="101" spans="1:38" x14ac:dyDescent="0.35">
      <c r="Q101" s="8"/>
    </row>
    <row r="102" spans="1:38" x14ac:dyDescent="0.35">
      <c r="Q102" s="8"/>
    </row>
  </sheetData>
  <mergeCells count="17">
    <mergeCell ref="A88:A92"/>
    <mergeCell ref="A94:A98"/>
    <mergeCell ref="A58:A62"/>
    <mergeCell ref="A64:A68"/>
    <mergeCell ref="A70:A74"/>
    <mergeCell ref="A76:A80"/>
    <mergeCell ref="A82:A86"/>
    <mergeCell ref="A28:A32"/>
    <mergeCell ref="A34:A38"/>
    <mergeCell ref="A40:A44"/>
    <mergeCell ref="A46:A50"/>
    <mergeCell ref="A52:A56"/>
    <mergeCell ref="A4:A8"/>
    <mergeCell ref="A2:D2"/>
    <mergeCell ref="A10:A14"/>
    <mergeCell ref="A16:A20"/>
    <mergeCell ref="A22:A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F18F5-9FE7-4266-8D27-208FA7667A4D}">
  <dimension ref="A1:L100"/>
  <sheetViews>
    <sheetView tabSelected="1" topLeftCell="B1" workbookViewId="0">
      <selection activeCell="J18" sqref="J18"/>
    </sheetView>
  </sheetViews>
  <sheetFormatPr defaultRowHeight="14.5" x14ac:dyDescent="0.35"/>
  <cols>
    <col min="1" max="1" width="12.81640625" customWidth="1"/>
    <col min="2" max="2" width="14.453125" customWidth="1"/>
    <col min="3" max="3" width="13.6328125" customWidth="1"/>
    <col min="4" max="4" width="14.08984375" customWidth="1"/>
    <col min="5" max="5" width="12.453125" customWidth="1"/>
    <col min="6" max="6" width="13" customWidth="1"/>
    <col min="8" max="8" width="16.36328125" customWidth="1"/>
    <col min="10" max="10" width="14.81640625" customWidth="1"/>
    <col min="12" max="12" width="15.90625" customWidth="1"/>
  </cols>
  <sheetData>
    <row r="1" spans="1:12" x14ac:dyDescent="0.35">
      <c r="A1" t="s">
        <v>358</v>
      </c>
    </row>
    <row r="2" spans="1:12" x14ac:dyDescent="0.35">
      <c r="A2" t="s">
        <v>359</v>
      </c>
    </row>
    <row r="5" spans="1:12" ht="43.5" x14ac:dyDescent="0.35">
      <c r="A5" s="28" t="s">
        <v>335</v>
      </c>
      <c r="B5" s="28" t="s">
        <v>332</v>
      </c>
      <c r="C5" s="28" t="s">
        <v>336</v>
      </c>
      <c r="D5" s="28" t="s">
        <v>337</v>
      </c>
      <c r="E5" s="28" t="s">
        <v>338</v>
      </c>
      <c r="F5" s="28" t="s">
        <v>339</v>
      </c>
      <c r="G5" s="28" t="s">
        <v>333</v>
      </c>
      <c r="H5" s="20" t="s">
        <v>340</v>
      </c>
      <c r="J5" s="28" t="s">
        <v>370</v>
      </c>
      <c r="L5" s="28" t="s">
        <v>294</v>
      </c>
    </row>
    <row r="6" spans="1:12" x14ac:dyDescent="0.35">
      <c r="A6" s="33" t="s">
        <v>334</v>
      </c>
      <c r="B6" s="19">
        <v>0</v>
      </c>
      <c r="C6" s="19">
        <v>100</v>
      </c>
      <c r="D6" s="19">
        <v>0.1</v>
      </c>
      <c r="E6" s="19">
        <v>0</v>
      </c>
      <c r="F6" s="19">
        <v>0</v>
      </c>
      <c r="G6" s="19">
        <f>C6+E6</f>
        <v>100</v>
      </c>
      <c r="H6" s="19">
        <f>(D6/G6)^2</f>
        <v>9.9999999999999995E-7</v>
      </c>
      <c r="J6">
        <v>0.1</v>
      </c>
      <c r="L6">
        <f>SQRT((J6^2)+(H6^2))</f>
        <v>0.10000000000500001</v>
      </c>
    </row>
    <row r="7" spans="1:12" x14ac:dyDescent="0.35">
      <c r="A7" s="33"/>
      <c r="B7" s="19">
        <v>0.5</v>
      </c>
      <c r="C7" s="19">
        <v>100</v>
      </c>
      <c r="D7" s="19">
        <v>0.1</v>
      </c>
      <c r="E7" s="19">
        <v>0.5</v>
      </c>
      <c r="F7" s="19">
        <v>0.1</v>
      </c>
      <c r="G7" s="19">
        <f>C7+E7</f>
        <v>100.5</v>
      </c>
      <c r="H7" s="22">
        <f t="shared" ref="H7:H10" si="0">(D7/G7)^2</f>
        <v>9.9007450310635896E-7</v>
      </c>
      <c r="J7">
        <v>0.1</v>
      </c>
      <c r="L7">
        <f t="shared" ref="L7:L70" si="1">SQRT((J7^2)+(H7^2))</f>
        <v>0.10000000000490125</v>
      </c>
    </row>
    <row r="8" spans="1:12" x14ac:dyDescent="0.35">
      <c r="A8" s="33"/>
      <c r="B8" s="19">
        <v>1</v>
      </c>
      <c r="C8" s="19">
        <v>100</v>
      </c>
      <c r="D8" s="19">
        <v>0.1</v>
      </c>
      <c r="E8" s="19">
        <v>1</v>
      </c>
      <c r="F8" s="19">
        <v>0.1</v>
      </c>
      <c r="G8" s="19">
        <f>C8+E8</f>
        <v>101</v>
      </c>
      <c r="H8" s="22">
        <f t="shared" si="0"/>
        <v>9.802960494069209E-7</v>
      </c>
      <c r="J8">
        <v>0.1</v>
      </c>
      <c r="L8">
        <f t="shared" si="1"/>
        <v>0.10000000000480491</v>
      </c>
    </row>
    <row r="9" spans="1:12" x14ac:dyDescent="0.35">
      <c r="A9" s="33"/>
      <c r="B9" s="19">
        <v>2.5</v>
      </c>
      <c r="C9" s="19">
        <v>100</v>
      </c>
      <c r="D9" s="19">
        <v>0.1</v>
      </c>
      <c r="E9" s="19">
        <v>2.5</v>
      </c>
      <c r="F9" s="19">
        <v>0.1</v>
      </c>
      <c r="G9" s="19">
        <f>C9+E9</f>
        <v>102.5</v>
      </c>
      <c r="H9" s="22">
        <f t="shared" si="0"/>
        <v>9.5181439619274262E-7</v>
      </c>
      <c r="J9">
        <v>0.1</v>
      </c>
      <c r="L9">
        <f t="shared" si="1"/>
        <v>0.10000000000452976</v>
      </c>
    </row>
    <row r="10" spans="1:12" x14ac:dyDescent="0.35">
      <c r="A10" s="33"/>
      <c r="B10" s="19">
        <v>5</v>
      </c>
      <c r="C10" s="19">
        <v>100</v>
      </c>
      <c r="D10" s="19">
        <v>0.1</v>
      </c>
      <c r="E10" s="19">
        <v>5</v>
      </c>
      <c r="F10" s="19">
        <v>0.1</v>
      </c>
      <c r="G10" s="19">
        <f>C10+E10</f>
        <v>105</v>
      </c>
      <c r="H10" s="22">
        <f t="shared" si="0"/>
        <v>9.0702947845804985E-7</v>
      </c>
      <c r="J10">
        <v>0.1</v>
      </c>
      <c r="L10">
        <f t="shared" si="1"/>
        <v>0.10000000000411352</v>
      </c>
    </row>
    <row r="12" spans="1:12" x14ac:dyDescent="0.35">
      <c r="A12" s="33" t="s">
        <v>324</v>
      </c>
      <c r="B12" s="19">
        <v>0</v>
      </c>
      <c r="C12" s="19">
        <v>100</v>
      </c>
      <c r="D12" s="19">
        <v>0.1</v>
      </c>
      <c r="E12" s="19">
        <v>0</v>
      </c>
      <c r="F12" s="19">
        <v>0</v>
      </c>
      <c r="G12" s="19">
        <f>C12+E12</f>
        <v>100</v>
      </c>
      <c r="H12" s="19">
        <f>(D12/G12)^2</f>
        <v>9.9999999999999995E-7</v>
      </c>
      <c r="J12">
        <v>0.1</v>
      </c>
      <c r="L12">
        <f t="shared" si="1"/>
        <v>0.10000000000500001</v>
      </c>
    </row>
    <row r="13" spans="1:12" x14ac:dyDescent="0.35">
      <c r="A13" s="33"/>
      <c r="B13" s="19">
        <v>0.5</v>
      </c>
      <c r="C13" s="19">
        <v>100</v>
      </c>
      <c r="D13" s="19">
        <v>0.1</v>
      </c>
      <c r="E13" s="19">
        <v>0.5</v>
      </c>
      <c r="F13" s="19">
        <v>0.1</v>
      </c>
      <c r="G13" s="19">
        <f>C13+E13</f>
        <v>100.5</v>
      </c>
      <c r="H13" s="22">
        <f t="shared" ref="H13:H16" si="2">(D13/G13)^2</f>
        <v>9.9007450310635896E-7</v>
      </c>
      <c r="J13">
        <v>0.1</v>
      </c>
      <c r="L13">
        <f t="shared" si="1"/>
        <v>0.10000000000490125</v>
      </c>
    </row>
    <row r="14" spans="1:12" x14ac:dyDescent="0.35">
      <c r="A14" s="33"/>
      <c r="B14" s="19">
        <v>1</v>
      </c>
      <c r="C14" s="19">
        <v>100</v>
      </c>
      <c r="D14" s="19">
        <v>0.1</v>
      </c>
      <c r="E14" s="19">
        <v>1</v>
      </c>
      <c r="F14" s="19">
        <v>0.1</v>
      </c>
      <c r="G14" s="19">
        <f>C14+E14</f>
        <v>101</v>
      </c>
      <c r="H14" s="22">
        <f t="shared" si="2"/>
        <v>9.802960494069209E-7</v>
      </c>
      <c r="J14">
        <v>0.1</v>
      </c>
      <c r="L14">
        <f t="shared" si="1"/>
        <v>0.10000000000480491</v>
      </c>
    </row>
    <row r="15" spans="1:12" x14ac:dyDescent="0.35">
      <c r="A15" s="33"/>
      <c r="B15" s="19">
        <v>2.5</v>
      </c>
      <c r="C15" s="19">
        <v>100</v>
      </c>
      <c r="D15" s="19">
        <v>0.1</v>
      </c>
      <c r="E15" s="19">
        <v>2.5</v>
      </c>
      <c r="F15" s="19">
        <v>0.1</v>
      </c>
      <c r="G15" s="19">
        <f>C15+E15</f>
        <v>102.5</v>
      </c>
      <c r="H15" s="22">
        <f t="shared" si="2"/>
        <v>9.5181439619274262E-7</v>
      </c>
      <c r="J15">
        <v>0.1</v>
      </c>
      <c r="L15">
        <f t="shared" si="1"/>
        <v>0.10000000000452976</v>
      </c>
    </row>
    <row r="16" spans="1:12" x14ac:dyDescent="0.35">
      <c r="A16" s="33"/>
      <c r="B16" s="19">
        <v>5</v>
      </c>
      <c r="C16" s="19">
        <v>100</v>
      </c>
      <c r="D16" s="19">
        <v>0.1</v>
      </c>
      <c r="E16" s="19">
        <v>5</v>
      </c>
      <c r="F16" s="19">
        <v>0.1</v>
      </c>
      <c r="G16" s="19">
        <f>C16+E16</f>
        <v>105</v>
      </c>
      <c r="H16" s="22">
        <f t="shared" si="2"/>
        <v>9.0702947845804985E-7</v>
      </c>
      <c r="J16">
        <v>0.1</v>
      </c>
      <c r="L16">
        <f t="shared" si="1"/>
        <v>0.10000000000411352</v>
      </c>
    </row>
    <row r="18" spans="1:12" x14ac:dyDescent="0.35">
      <c r="A18" s="32" t="s">
        <v>5</v>
      </c>
      <c r="B18">
        <v>0</v>
      </c>
      <c r="C18">
        <v>100</v>
      </c>
      <c r="D18">
        <v>0.1</v>
      </c>
      <c r="E18">
        <v>0</v>
      </c>
      <c r="F18">
        <v>0</v>
      </c>
      <c r="G18">
        <f>C18+E18</f>
        <v>100</v>
      </c>
      <c r="H18">
        <f>(D18/G18)^2</f>
        <v>9.9999999999999995E-7</v>
      </c>
      <c r="J18">
        <v>0.1</v>
      </c>
      <c r="L18">
        <f t="shared" si="1"/>
        <v>0.10000000000500001</v>
      </c>
    </row>
    <row r="19" spans="1:12" x14ac:dyDescent="0.35">
      <c r="A19" s="32"/>
      <c r="B19">
        <v>0.5</v>
      </c>
      <c r="C19">
        <v>100</v>
      </c>
      <c r="D19">
        <v>0.1</v>
      </c>
      <c r="E19">
        <v>0.5</v>
      </c>
      <c r="F19">
        <v>0.1</v>
      </c>
      <c r="G19">
        <f>C19+E19</f>
        <v>100.5</v>
      </c>
      <c r="H19">
        <f t="shared" ref="H19:H22" si="3">(D19/G19)^2</f>
        <v>9.9007450310635896E-7</v>
      </c>
      <c r="J19">
        <v>0.1</v>
      </c>
      <c r="L19">
        <f t="shared" si="1"/>
        <v>0.10000000000490125</v>
      </c>
    </row>
    <row r="20" spans="1:12" x14ac:dyDescent="0.35">
      <c r="A20" s="32"/>
      <c r="B20">
        <v>1</v>
      </c>
      <c r="C20">
        <v>100</v>
      </c>
      <c r="D20">
        <v>0.1</v>
      </c>
      <c r="E20">
        <v>1</v>
      </c>
      <c r="F20">
        <v>0.1</v>
      </c>
      <c r="G20">
        <f>C20+E20</f>
        <v>101</v>
      </c>
      <c r="H20">
        <f t="shared" si="3"/>
        <v>9.802960494069209E-7</v>
      </c>
      <c r="J20">
        <v>0.1</v>
      </c>
      <c r="L20">
        <f t="shared" si="1"/>
        <v>0.10000000000480491</v>
      </c>
    </row>
    <row r="21" spans="1:12" x14ac:dyDescent="0.35">
      <c r="A21" s="32"/>
      <c r="B21">
        <v>2.5</v>
      </c>
      <c r="C21">
        <v>100</v>
      </c>
      <c r="D21">
        <v>0.1</v>
      </c>
      <c r="E21">
        <v>2.5</v>
      </c>
      <c r="F21">
        <v>0.1</v>
      </c>
      <c r="G21">
        <f>C21+E21</f>
        <v>102.5</v>
      </c>
      <c r="H21">
        <f t="shared" si="3"/>
        <v>9.5181439619274262E-7</v>
      </c>
      <c r="J21">
        <v>0.1</v>
      </c>
      <c r="L21">
        <f t="shared" si="1"/>
        <v>0.10000000000452976</v>
      </c>
    </row>
    <row r="22" spans="1:12" x14ac:dyDescent="0.35">
      <c r="A22" s="32"/>
      <c r="B22">
        <v>5</v>
      </c>
      <c r="C22">
        <v>100</v>
      </c>
      <c r="D22">
        <v>0.1</v>
      </c>
      <c r="E22">
        <v>5</v>
      </c>
      <c r="F22">
        <v>0.1</v>
      </c>
      <c r="G22">
        <f>C22+E22</f>
        <v>105</v>
      </c>
      <c r="H22">
        <f t="shared" si="3"/>
        <v>9.0702947845804985E-7</v>
      </c>
      <c r="J22">
        <v>0.1</v>
      </c>
      <c r="L22">
        <f t="shared" si="1"/>
        <v>0.10000000000411352</v>
      </c>
    </row>
    <row r="24" spans="1:12" x14ac:dyDescent="0.35">
      <c r="A24" s="32" t="s">
        <v>325</v>
      </c>
      <c r="B24">
        <v>0</v>
      </c>
      <c r="C24">
        <v>100</v>
      </c>
      <c r="D24">
        <v>0.1</v>
      </c>
      <c r="E24">
        <v>0</v>
      </c>
      <c r="F24">
        <v>0</v>
      </c>
      <c r="G24">
        <f>C24+E24</f>
        <v>100</v>
      </c>
      <c r="H24">
        <f>(D24/G24)^2</f>
        <v>9.9999999999999995E-7</v>
      </c>
      <c r="J24">
        <v>0.1</v>
      </c>
      <c r="L24">
        <f t="shared" si="1"/>
        <v>0.10000000000500001</v>
      </c>
    </row>
    <row r="25" spans="1:12" x14ac:dyDescent="0.35">
      <c r="A25" s="32"/>
      <c r="B25">
        <v>0.5</v>
      </c>
      <c r="C25">
        <v>100</v>
      </c>
      <c r="D25">
        <v>0.1</v>
      </c>
      <c r="E25">
        <v>0.5</v>
      </c>
      <c r="F25">
        <v>0.1</v>
      </c>
      <c r="G25">
        <f>C25+E25</f>
        <v>100.5</v>
      </c>
      <c r="H25">
        <f t="shared" ref="H25:H28" si="4">(D25/G25)^2</f>
        <v>9.9007450310635896E-7</v>
      </c>
      <c r="J25">
        <v>0.1</v>
      </c>
      <c r="L25">
        <f t="shared" si="1"/>
        <v>0.10000000000490125</v>
      </c>
    </row>
    <row r="26" spans="1:12" x14ac:dyDescent="0.35">
      <c r="A26" s="32"/>
      <c r="B26">
        <v>1</v>
      </c>
      <c r="C26">
        <v>100</v>
      </c>
      <c r="D26">
        <v>0.1</v>
      </c>
      <c r="E26">
        <v>1</v>
      </c>
      <c r="F26">
        <v>0.1</v>
      </c>
      <c r="G26">
        <f>C26+E26</f>
        <v>101</v>
      </c>
      <c r="H26">
        <f t="shared" si="4"/>
        <v>9.802960494069209E-7</v>
      </c>
      <c r="J26">
        <v>0.1</v>
      </c>
      <c r="L26">
        <f t="shared" si="1"/>
        <v>0.10000000000480491</v>
      </c>
    </row>
    <row r="27" spans="1:12" x14ac:dyDescent="0.35">
      <c r="A27" s="32"/>
      <c r="B27">
        <v>2.5</v>
      </c>
      <c r="C27">
        <v>100</v>
      </c>
      <c r="D27">
        <v>0.1</v>
      </c>
      <c r="E27">
        <v>2.5</v>
      </c>
      <c r="F27">
        <v>0.1</v>
      </c>
      <c r="G27">
        <f>C27+E27</f>
        <v>102.5</v>
      </c>
      <c r="H27">
        <f t="shared" si="4"/>
        <v>9.5181439619274262E-7</v>
      </c>
      <c r="J27">
        <v>0.1</v>
      </c>
      <c r="L27">
        <f t="shared" si="1"/>
        <v>0.10000000000452976</v>
      </c>
    </row>
    <row r="28" spans="1:12" x14ac:dyDescent="0.35">
      <c r="A28" s="32"/>
      <c r="B28">
        <v>5</v>
      </c>
      <c r="C28">
        <v>100</v>
      </c>
      <c r="D28">
        <v>0.1</v>
      </c>
      <c r="E28">
        <v>5</v>
      </c>
      <c r="F28">
        <v>0.1</v>
      </c>
      <c r="G28">
        <f>C28+E28</f>
        <v>105</v>
      </c>
      <c r="H28">
        <f t="shared" si="4"/>
        <v>9.0702947845804985E-7</v>
      </c>
      <c r="J28">
        <v>0.1</v>
      </c>
      <c r="L28">
        <f t="shared" si="1"/>
        <v>0.10000000000411352</v>
      </c>
    </row>
    <row r="30" spans="1:12" x14ac:dyDescent="0.35">
      <c r="A30" s="32" t="s">
        <v>7</v>
      </c>
      <c r="B30">
        <v>0</v>
      </c>
      <c r="C30">
        <v>100</v>
      </c>
      <c r="D30">
        <v>0.1</v>
      </c>
      <c r="E30">
        <v>0</v>
      </c>
      <c r="F30">
        <v>0</v>
      </c>
      <c r="G30">
        <f>C30+E30</f>
        <v>100</v>
      </c>
      <c r="H30">
        <f>(D30/G30)^2</f>
        <v>9.9999999999999995E-7</v>
      </c>
      <c r="J30">
        <v>0.1</v>
      </c>
      <c r="L30">
        <f t="shared" si="1"/>
        <v>0.10000000000500001</v>
      </c>
    </row>
    <row r="31" spans="1:12" x14ac:dyDescent="0.35">
      <c r="A31" s="32"/>
      <c r="B31">
        <v>0.5</v>
      </c>
      <c r="C31">
        <v>100</v>
      </c>
      <c r="D31">
        <v>0.1</v>
      </c>
      <c r="E31">
        <v>0.5</v>
      </c>
      <c r="F31">
        <v>0.1</v>
      </c>
      <c r="G31">
        <f>C31+E31</f>
        <v>100.5</v>
      </c>
      <c r="H31">
        <f t="shared" ref="H31:H34" si="5">(D31/G31)^2</f>
        <v>9.9007450310635896E-7</v>
      </c>
      <c r="J31">
        <v>0.1</v>
      </c>
      <c r="L31">
        <f t="shared" si="1"/>
        <v>0.10000000000490125</v>
      </c>
    </row>
    <row r="32" spans="1:12" x14ac:dyDescent="0.35">
      <c r="A32" s="32"/>
      <c r="B32">
        <v>1</v>
      </c>
      <c r="C32">
        <v>100</v>
      </c>
      <c r="D32">
        <v>0.1</v>
      </c>
      <c r="E32">
        <v>1</v>
      </c>
      <c r="F32">
        <v>0.1</v>
      </c>
      <c r="G32">
        <f>C32+E32</f>
        <v>101</v>
      </c>
      <c r="H32">
        <f t="shared" si="5"/>
        <v>9.802960494069209E-7</v>
      </c>
      <c r="J32">
        <v>0.1</v>
      </c>
      <c r="L32">
        <f t="shared" si="1"/>
        <v>0.10000000000480491</v>
      </c>
    </row>
    <row r="33" spans="1:12" x14ac:dyDescent="0.35">
      <c r="A33" s="32"/>
      <c r="B33">
        <v>2.5</v>
      </c>
      <c r="C33">
        <v>100</v>
      </c>
      <c r="D33">
        <v>0.1</v>
      </c>
      <c r="E33">
        <v>2.5</v>
      </c>
      <c r="F33">
        <v>0.1</v>
      </c>
      <c r="G33">
        <f>C33+E33</f>
        <v>102.5</v>
      </c>
      <c r="H33">
        <f t="shared" si="5"/>
        <v>9.5181439619274262E-7</v>
      </c>
      <c r="J33">
        <v>0.1</v>
      </c>
      <c r="L33">
        <f t="shared" si="1"/>
        <v>0.10000000000452976</v>
      </c>
    </row>
    <row r="34" spans="1:12" x14ac:dyDescent="0.35">
      <c r="A34" s="32"/>
      <c r="B34">
        <v>5</v>
      </c>
      <c r="C34">
        <v>100</v>
      </c>
      <c r="D34">
        <v>0.1</v>
      </c>
      <c r="E34">
        <v>5</v>
      </c>
      <c r="F34">
        <v>0.1</v>
      </c>
      <c r="G34">
        <f>C34+E34</f>
        <v>105</v>
      </c>
      <c r="H34">
        <f t="shared" si="5"/>
        <v>9.0702947845804985E-7</v>
      </c>
      <c r="J34">
        <v>0.1</v>
      </c>
      <c r="L34">
        <f t="shared" si="1"/>
        <v>0.10000000000411352</v>
      </c>
    </row>
    <row r="36" spans="1:12" x14ac:dyDescent="0.35">
      <c r="A36" s="32" t="s">
        <v>326</v>
      </c>
      <c r="B36">
        <v>0</v>
      </c>
      <c r="C36">
        <v>100</v>
      </c>
      <c r="D36">
        <v>0.1</v>
      </c>
      <c r="E36">
        <v>0</v>
      </c>
      <c r="F36">
        <v>0</v>
      </c>
      <c r="G36">
        <f>C36+E36</f>
        <v>100</v>
      </c>
      <c r="H36">
        <f>(D36/G36)^2</f>
        <v>9.9999999999999995E-7</v>
      </c>
      <c r="J36">
        <v>0.1</v>
      </c>
      <c r="L36">
        <f t="shared" si="1"/>
        <v>0.10000000000500001</v>
      </c>
    </row>
    <row r="37" spans="1:12" x14ac:dyDescent="0.35">
      <c r="A37" s="32"/>
      <c r="B37">
        <v>0.5</v>
      </c>
      <c r="C37">
        <v>100</v>
      </c>
      <c r="D37">
        <v>0.1</v>
      </c>
      <c r="E37">
        <v>0.5</v>
      </c>
      <c r="F37">
        <v>0.1</v>
      </c>
      <c r="G37">
        <f>C37+E37</f>
        <v>100.5</v>
      </c>
      <c r="H37">
        <f t="shared" ref="H37:H40" si="6">(D37/G37)^2</f>
        <v>9.9007450310635896E-7</v>
      </c>
      <c r="J37">
        <v>0.1</v>
      </c>
      <c r="L37">
        <f t="shared" si="1"/>
        <v>0.10000000000490125</v>
      </c>
    </row>
    <row r="38" spans="1:12" x14ac:dyDescent="0.35">
      <c r="A38" s="32"/>
      <c r="B38">
        <v>1</v>
      </c>
      <c r="C38">
        <v>100</v>
      </c>
      <c r="D38">
        <v>0.1</v>
      </c>
      <c r="E38">
        <v>1</v>
      </c>
      <c r="F38">
        <v>0.1</v>
      </c>
      <c r="G38">
        <f>C38+E38</f>
        <v>101</v>
      </c>
      <c r="H38">
        <f t="shared" si="6"/>
        <v>9.802960494069209E-7</v>
      </c>
      <c r="J38">
        <v>0.1</v>
      </c>
      <c r="L38">
        <f t="shared" si="1"/>
        <v>0.10000000000480491</v>
      </c>
    </row>
    <row r="39" spans="1:12" x14ac:dyDescent="0.35">
      <c r="A39" s="32"/>
      <c r="B39">
        <v>2.5</v>
      </c>
      <c r="C39">
        <v>100</v>
      </c>
      <c r="D39">
        <v>0.1</v>
      </c>
      <c r="E39">
        <v>2.5</v>
      </c>
      <c r="F39">
        <v>0.1</v>
      </c>
      <c r="G39">
        <f>C39+E39</f>
        <v>102.5</v>
      </c>
      <c r="H39">
        <f t="shared" si="6"/>
        <v>9.5181439619274262E-7</v>
      </c>
      <c r="J39">
        <v>0.1</v>
      </c>
      <c r="L39">
        <f t="shared" si="1"/>
        <v>0.10000000000452976</v>
      </c>
    </row>
    <row r="40" spans="1:12" x14ac:dyDescent="0.35">
      <c r="A40" s="32"/>
      <c r="B40">
        <v>5</v>
      </c>
      <c r="C40">
        <v>100</v>
      </c>
      <c r="D40">
        <v>0.1</v>
      </c>
      <c r="E40">
        <v>5</v>
      </c>
      <c r="F40">
        <v>0.1</v>
      </c>
      <c r="G40">
        <f>C40+E40</f>
        <v>105</v>
      </c>
      <c r="H40">
        <f t="shared" si="6"/>
        <v>9.0702947845804985E-7</v>
      </c>
      <c r="J40">
        <v>0.1</v>
      </c>
      <c r="L40">
        <f t="shared" si="1"/>
        <v>0.10000000000411352</v>
      </c>
    </row>
    <row r="42" spans="1:12" x14ac:dyDescent="0.35">
      <c r="A42" s="32" t="s">
        <v>327</v>
      </c>
      <c r="B42">
        <v>0</v>
      </c>
      <c r="C42">
        <v>100</v>
      </c>
      <c r="D42">
        <v>0.1</v>
      </c>
      <c r="E42">
        <v>0</v>
      </c>
      <c r="F42">
        <v>0</v>
      </c>
      <c r="G42">
        <f>C42+E42</f>
        <v>100</v>
      </c>
      <c r="H42">
        <f>(D42/G42)^2</f>
        <v>9.9999999999999995E-7</v>
      </c>
      <c r="J42">
        <v>0.1</v>
      </c>
      <c r="L42">
        <f t="shared" si="1"/>
        <v>0.10000000000500001</v>
      </c>
    </row>
    <row r="43" spans="1:12" x14ac:dyDescent="0.35">
      <c r="A43" s="32"/>
      <c r="B43">
        <v>0.5</v>
      </c>
      <c r="C43">
        <v>100</v>
      </c>
      <c r="D43">
        <v>0.1</v>
      </c>
      <c r="E43">
        <v>0.5</v>
      </c>
      <c r="F43">
        <v>0.1</v>
      </c>
      <c r="G43">
        <f>C43+E43</f>
        <v>100.5</v>
      </c>
      <c r="H43">
        <f t="shared" ref="H43:H46" si="7">(D43/G43)^2</f>
        <v>9.9007450310635896E-7</v>
      </c>
      <c r="J43">
        <v>0.1</v>
      </c>
      <c r="L43">
        <f t="shared" si="1"/>
        <v>0.10000000000490125</v>
      </c>
    </row>
    <row r="44" spans="1:12" x14ac:dyDescent="0.35">
      <c r="A44" s="32"/>
      <c r="B44">
        <v>1</v>
      </c>
      <c r="C44">
        <v>100</v>
      </c>
      <c r="D44">
        <v>0.1</v>
      </c>
      <c r="E44">
        <v>1</v>
      </c>
      <c r="F44">
        <v>0.1</v>
      </c>
      <c r="G44">
        <f>C44+E44</f>
        <v>101</v>
      </c>
      <c r="H44">
        <f t="shared" si="7"/>
        <v>9.802960494069209E-7</v>
      </c>
      <c r="J44">
        <v>0.1</v>
      </c>
      <c r="L44">
        <f t="shared" si="1"/>
        <v>0.10000000000480491</v>
      </c>
    </row>
    <row r="45" spans="1:12" x14ac:dyDescent="0.35">
      <c r="A45" s="32"/>
      <c r="B45">
        <v>2.5</v>
      </c>
      <c r="C45">
        <v>100</v>
      </c>
      <c r="D45">
        <v>0.1</v>
      </c>
      <c r="E45">
        <v>2.5</v>
      </c>
      <c r="F45">
        <v>0.1</v>
      </c>
      <c r="G45">
        <f>C45+E45</f>
        <v>102.5</v>
      </c>
      <c r="H45">
        <f t="shared" si="7"/>
        <v>9.5181439619274262E-7</v>
      </c>
      <c r="J45">
        <v>0.1</v>
      </c>
      <c r="L45">
        <f t="shared" si="1"/>
        <v>0.10000000000452976</v>
      </c>
    </row>
    <row r="46" spans="1:12" x14ac:dyDescent="0.35">
      <c r="A46" s="32"/>
      <c r="B46">
        <v>5</v>
      </c>
      <c r="C46">
        <v>100</v>
      </c>
      <c r="D46">
        <v>0.1</v>
      </c>
      <c r="E46">
        <v>5</v>
      </c>
      <c r="F46">
        <v>0.1</v>
      </c>
      <c r="G46">
        <f>C46+E46</f>
        <v>105</v>
      </c>
      <c r="H46">
        <f t="shared" si="7"/>
        <v>9.0702947845804985E-7</v>
      </c>
      <c r="J46">
        <v>0.1</v>
      </c>
      <c r="L46">
        <f t="shared" si="1"/>
        <v>0.10000000000411352</v>
      </c>
    </row>
    <row r="48" spans="1:12" x14ac:dyDescent="0.35">
      <c r="A48" s="32" t="s">
        <v>10</v>
      </c>
      <c r="B48">
        <v>0</v>
      </c>
      <c r="C48">
        <v>100</v>
      </c>
      <c r="D48">
        <v>0.1</v>
      </c>
      <c r="E48">
        <v>0</v>
      </c>
      <c r="F48">
        <v>0</v>
      </c>
      <c r="G48">
        <f>C48+E48</f>
        <v>100</v>
      </c>
      <c r="H48">
        <f>(D48/G48)^2</f>
        <v>9.9999999999999995E-7</v>
      </c>
      <c r="J48">
        <v>0.1</v>
      </c>
      <c r="L48">
        <f t="shared" si="1"/>
        <v>0.10000000000500001</v>
      </c>
    </row>
    <row r="49" spans="1:12" x14ac:dyDescent="0.35">
      <c r="A49" s="32"/>
      <c r="B49">
        <v>0.5</v>
      </c>
      <c r="C49">
        <v>100</v>
      </c>
      <c r="D49">
        <v>0.1</v>
      </c>
      <c r="E49">
        <v>0.5</v>
      </c>
      <c r="F49">
        <v>0.1</v>
      </c>
      <c r="G49">
        <f>C49+E49</f>
        <v>100.5</v>
      </c>
      <c r="H49">
        <f t="shared" ref="H49:H52" si="8">(D49/G49)^2</f>
        <v>9.9007450310635896E-7</v>
      </c>
      <c r="J49">
        <v>0.1</v>
      </c>
      <c r="L49">
        <f t="shared" si="1"/>
        <v>0.10000000000490125</v>
      </c>
    </row>
    <row r="50" spans="1:12" x14ac:dyDescent="0.35">
      <c r="A50" s="32"/>
      <c r="B50">
        <v>1</v>
      </c>
      <c r="C50">
        <v>100</v>
      </c>
      <c r="D50">
        <v>0.1</v>
      </c>
      <c r="E50">
        <v>1</v>
      </c>
      <c r="F50">
        <v>0.1</v>
      </c>
      <c r="G50">
        <f>C50+E50</f>
        <v>101</v>
      </c>
      <c r="H50">
        <f t="shared" si="8"/>
        <v>9.802960494069209E-7</v>
      </c>
      <c r="J50">
        <v>0.1</v>
      </c>
      <c r="L50">
        <f t="shared" si="1"/>
        <v>0.10000000000480491</v>
      </c>
    </row>
    <row r="51" spans="1:12" x14ac:dyDescent="0.35">
      <c r="A51" s="32"/>
      <c r="B51">
        <v>2.5</v>
      </c>
      <c r="C51">
        <v>100</v>
      </c>
      <c r="D51">
        <v>0.1</v>
      </c>
      <c r="E51">
        <v>2.5</v>
      </c>
      <c r="F51">
        <v>0.1</v>
      </c>
      <c r="G51">
        <f>C51+E51</f>
        <v>102.5</v>
      </c>
      <c r="H51">
        <f t="shared" si="8"/>
        <v>9.5181439619274262E-7</v>
      </c>
      <c r="J51">
        <v>0.1</v>
      </c>
      <c r="L51">
        <f t="shared" si="1"/>
        <v>0.10000000000452976</v>
      </c>
    </row>
    <row r="52" spans="1:12" x14ac:dyDescent="0.35">
      <c r="A52" s="32"/>
      <c r="B52">
        <v>5</v>
      </c>
      <c r="C52">
        <v>100</v>
      </c>
      <c r="D52">
        <v>0.1</v>
      </c>
      <c r="E52">
        <v>5</v>
      </c>
      <c r="F52">
        <v>0.1</v>
      </c>
      <c r="G52">
        <f>C52+E52</f>
        <v>105</v>
      </c>
      <c r="H52">
        <f t="shared" si="8"/>
        <v>9.0702947845804985E-7</v>
      </c>
      <c r="J52">
        <v>0.1</v>
      </c>
      <c r="L52">
        <f t="shared" si="1"/>
        <v>0.10000000000411352</v>
      </c>
    </row>
    <row r="54" spans="1:12" x14ac:dyDescent="0.35">
      <c r="A54" s="32" t="s">
        <v>328</v>
      </c>
      <c r="B54">
        <v>0</v>
      </c>
      <c r="C54">
        <v>100</v>
      </c>
      <c r="D54">
        <v>0.1</v>
      </c>
      <c r="E54">
        <v>0</v>
      </c>
      <c r="F54">
        <v>0</v>
      </c>
      <c r="G54">
        <f>C54+E54</f>
        <v>100</v>
      </c>
      <c r="H54">
        <f>(D54/G54)^2</f>
        <v>9.9999999999999995E-7</v>
      </c>
      <c r="J54">
        <v>0.1</v>
      </c>
      <c r="L54">
        <f t="shared" si="1"/>
        <v>0.10000000000500001</v>
      </c>
    </row>
    <row r="55" spans="1:12" x14ac:dyDescent="0.35">
      <c r="A55" s="32"/>
      <c r="B55">
        <v>0.5</v>
      </c>
      <c r="C55">
        <v>100</v>
      </c>
      <c r="D55">
        <v>0.1</v>
      </c>
      <c r="E55">
        <v>0.5</v>
      </c>
      <c r="F55">
        <v>0.1</v>
      </c>
      <c r="G55">
        <f>C55+E55</f>
        <v>100.5</v>
      </c>
      <c r="H55">
        <f t="shared" ref="H55:H58" si="9">(D55/G55)^2</f>
        <v>9.9007450310635896E-7</v>
      </c>
      <c r="J55">
        <v>0.1</v>
      </c>
      <c r="L55">
        <f t="shared" si="1"/>
        <v>0.10000000000490125</v>
      </c>
    </row>
    <row r="56" spans="1:12" x14ac:dyDescent="0.35">
      <c r="A56" s="32"/>
      <c r="B56">
        <v>1</v>
      </c>
      <c r="C56">
        <v>100</v>
      </c>
      <c r="D56">
        <v>0.1</v>
      </c>
      <c r="E56">
        <v>1</v>
      </c>
      <c r="F56">
        <v>0.1</v>
      </c>
      <c r="G56">
        <f>C56+E56</f>
        <v>101</v>
      </c>
      <c r="H56">
        <f t="shared" si="9"/>
        <v>9.802960494069209E-7</v>
      </c>
      <c r="J56">
        <v>0.1</v>
      </c>
      <c r="L56">
        <f t="shared" si="1"/>
        <v>0.10000000000480491</v>
      </c>
    </row>
    <row r="57" spans="1:12" x14ac:dyDescent="0.35">
      <c r="A57" s="32"/>
      <c r="B57">
        <v>2.5</v>
      </c>
      <c r="C57">
        <v>100</v>
      </c>
      <c r="D57">
        <v>0.1</v>
      </c>
      <c r="E57">
        <v>2.5</v>
      </c>
      <c r="F57">
        <v>0.1</v>
      </c>
      <c r="G57">
        <f>C57+E57</f>
        <v>102.5</v>
      </c>
      <c r="H57">
        <f t="shared" si="9"/>
        <v>9.5181439619274262E-7</v>
      </c>
      <c r="J57">
        <v>0.1</v>
      </c>
      <c r="L57">
        <f t="shared" si="1"/>
        <v>0.10000000000452976</v>
      </c>
    </row>
    <row r="58" spans="1:12" x14ac:dyDescent="0.35">
      <c r="A58" s="32"/>
      <c r="B58">
        <v>5</v>
      </c>
      <c r="C58">
        <v>100</v>
      </c>
      <c r="D58">
        <v>0.1</v>
      </c>
      <c r="E58">
        <v>5</v>
      </c>
      <c r="F58">
        <v>0.1</v>
      </c>
      <c r="G58">
        <f>C58+E58</f>
        <v>105</v>
      </c>
      <c r="H58">
        <f t="shared" si="9"/>
        <v>9.0702947845804985E-7</v>
      </c>
      <c r="J58">
        <v>0.1</v>
      </c>
      <c r="L58">
        <f t="shared" si="1"/>
        <v>0.10000000000411352</v>
      </c>
    </row>
    <row r="60" spans="1:12" x14ac:dyDescent="0.35">
      <c r="A60" s="32" t="s">
        <v>361</v>
      </c>
      <c r="B60">
        <v>0</v>
      </c>
      <c r="C60">
        <v>100</v>
      </c>
      <c r="D60">
        <v>0.1</v>
      </c>
      <c r="E60">
        <v>0</v>
      </c>
      <c r="F60">
        <v>0</v>
      </c>
      <c r="G60">
        <f>C60+E60</f>
        <v>100</v>
      </c>
      <c r="H60">
        <f>(D60/G60)^2</f>
        <v>9.9999999999999995E-7</v>
      </c>
      <c r="J60">
        <v>0.1</v>
      </c>
      <c r="L60">
        <f t="shared" si="1"/>
        <v>0.10000000000500001</v>
      </c>
    </row>
    <row r="61" spans="1:12" x14ac:dyDescent="0.35">
      <c r="A61" s="32"/>
      <c r="B61">
        <v>0.5</v>
      </c>
      <c r="C61">
        <v>100</v>
      </c>
      <c r="D61">
        <v>0.1</v>
      </c>
      <c r="E61">
        <v>0.5</v>
      </c>
      <c r="F61">
        <v>0.1</v>
      </c>
      <c r="G61">
        <f>C61+E61</f>
        <v>100.5</v>
      </c>
      <c r="H61">
        <f t="shared" ref="H61:H64" si="10">(D61/G61)^2</f>
        <v>9.9007450310635896E-7</v>
      </c>
      <c r="J61">
        <v>0.1</v>
      </c>
      <c r="L61">
        <f t="shared" si="1"/>
        <v>0.10000000000490125</v>
      </c>
    </row>
    <row r="62" spans="1:12" x14ac:dyDescent="0.35">
      <c r="A62" s="32"/>
      <c r="B62">
        <v>1</v>
      </c>
      <c r="C62">
        <v>100</v>
      </c>
      <c r="D62">
        <v>0.1</v>
      </c>
      <c r="E62">
        <v>1</v>
      </c>
      <c r="F62">
        <v>0.1</v>
      </c>
      <c r="G62">
        <f>C62+E62</f>
        <v>101</v>
      </c>
      <c r="H62">
        <f t="shared" si="10"/>
        <v>9.802960494069209E-7</v>
      </c>
      <c r="J62">
        <v>0.1</v>
      </c>
      <c r="L62">
        <f t="shared" si="1"/>
        <v>0.10000000000480491</v>
      </c>
    </row>
    <row r="63" spans="1:12" x14ac:dyDescent="0.35">
      <c r="A63" s="32"/>
      <c r="B63">
        <v>2.5</v>
      </c>
      <c r="C63">
        <v>100</v>
      </c>
      <c r="D63">
        <v>0.1</v>
      </c>
      <c r="E63">
        <v>2.5</v>
      </c>
      <c r="F63">
        <v>0.1</v>
      </c>
      <c r="G63">
        <f>C63+E63</f>
        <v>102.5</v>
      </c>
      <c r="H63">
        <f t="shared" si="10"/>
        <v>9.5181439619274262E-7</v>
      </c>
      <c r="J63">
        <v>0.1</v>
      </c>
      <c r="L63">
        <f t="shared" si="1"/>
        <v>0.10000000000452976</v>
      </c>
    </row>
    <row r="64" spans="1:12" x14ac:dyDescent="0.35">
      <c r="A64" s="32"/>
      <c r="B64">
        <v>5</v>
      </c>
      <c r="C64">
        <v>100</v>
      </c>
      <c r="D64">
        <v>0.1</v>
      </c>
      <c r="E64">
        <v>5</v>
      </c>
      <c r="F64">
        <v>0.1</v>
      </c>
      <c r="G64">
        <f>C64+E64</f>
        <v>105</v>
      </c>
      <c r="H64">
        <f t="shared" si="10"/>
        <v>9.0702947845804985E-7</v>
      </c>
      <c r="J64">
        <v>0.1</v>
      </c>
      <c r="L64">
        <f t="shared" si="1"/>
        <v>0.10000000000411352</v>
      </c>
    </row>
    <row r="66" spans="1:12" x14ac:dyDescent="0.35">
      <c r="A66" s="32" t="s">
        <v>13</v>
      </c>
      <c r="B66">
        <v>0</v>
      </c>
      <c r="C66">
        <v>100</v>
      </c>
      <c r="D66">
        <v>0.1</v>
      </c>
      <c r="E66">
        <v>0</v>
      </c>
      <c r="F66">
        <v>0</v>
      </c>
      <c r="G66">
        <f>C66+E66</f>
        <v>100</v>
      </c>
      <c r="H66">
        <f>(D66/G66)^2</f>
        <v>9.9999999999999995E-7</v>
      </c>
      <c r="J66">
        <v>0.1</v>
      </c>
      <c r="L66">
        <f t="shared" si="1"/>
        <v>0.10000000000500001</v>
      </c>
    </row>
    <row r="67" spans="1:12" x14ac:dyDescent="0.35">
      <c r="A67" s="32"/>
      <c r="B67">
        <v>0.5</v>
      </c>
      <c r="C67">
        <v>100</v>
      </c>
      <c r="D67">
        <v>0.1</v>
      </c>
      <c r="E67">
        <v>0.5</v>
      </c>
      <c r="F67">
        <v>0.1</v>
      </c>
      <c r="G67">
        <f>C67+E67</f>
        <v>100.5</v>
      </c>
      <c r="H67">
        <f t="shared" ref="H67:H70" si="11">(D67/G67)^2</f>
        <v>9.9007450310635896E-7</v>
      </c>
      <c r="J67">
        <v>0.1</v>
      </c>
      <c r="L67">
        <f t="shared" si="1"/>
        <v>0.10000000000490125</v>
      </c>
    </row>
    <row r="68" spans="1:12" x14ac:dyDescent="0.35">
      <c r="A68" s="32"/>
      <c r="B68">
        <v>1</v>
      </c>
      <c r="C68">
        <v>100</v>
      </c>
      <c r="D68">
        <v>0.1</v>
      </c>
      <c r="E68">
        <v>1</v>
      </c>
      <c r="F68">
        <v>0.1</v>
      </c>
      <c r="G68">
        <f>C68+E68</f>
        <v>101</v>
      </c>
      <c r="H68">
        <f t="shared" si="11"/>
        <v>9.802960494069209E-7</v>
      </c>
      <c r="J68">
        <v>0.1</v>
      </c>
      <c r="L68">
        <f t="shared" si="1"/>
        <v>0.10000000000480491</v>
      </c>
    </row>
    <row r="69" spans="1:12" x14ac:dyDescent="0.35">
      <c r="A69" s="32"/>
      <c r="B69">
        <v>2.5</v>
      </c>
      <c r="C69">
        <v>100</v>
      </c>
      <c r="D69">
        <v>0.1</v>
      </c>
      <c r="E69">
        <v>2.5</v>
      </c>
      <c r="F69">
        <v>0.1</v>
      </c>
      <c r="G69">
        <f>C69+E69</f>
        <v>102.5</v>
      </c>
      <c r="H69">
        <f t="shared" si="11"/>
        <v>9.5181439619274262E-7</v>
      </c>
      <c r="J69">
        <v>0.1</v>
      </c>
      <c r="L69">
        <f t="shared" si="1"/>
        <v>0.10000000000452976</v>
      </c>
    </row>
    <row r="70" spans="1:12" x14ac:dyDescent="0.35">
      <c r="A70" s="32"/>
      <c r="B70">
        <v>5</v>
      </c>
      <c r="C70">
        <v>100</v>
      </c>
      <c r="D70">
        <v>0.1</v>
      </c>
      <c r="E70">
        <v>5</v>
      </c>
      <c r="F70">
        <v>0.1</v>
      </c>
      <c r="G70">
        <f>C70+E70</f>
        <v>105</v>
      </c>
      <c r="H70">
        <f t="shared" si="11"/>
        <v>9.0702947845804985E-7</v>
      </c>
      <c r="J70">
        <v>0.1</v>
      </c>
      <c r="L70">
        <f t="shared" si="1"/>
        <v>0.10000000000411352</v>
      </c>
    </row>
    <row r="72" spans="1:12" x14ac:dyDescent="0.35">
      <c r="A72" s="32" t="s">
        <v>14</v>
      </c>
      <c r="B72">
        <v>0</v>
      </c>
      <c r="C72">
        <v>100</v>
      </c>
      <c r="D72">
        <v>0.1</v>
      </c>
      <c r="E72">
        <v>0</v>
      </c>
      <c r="F72">
        <v>0</v>
      </c>
      <c r="G72">
        <f>C72+E72</f>
        <v>100</v>
      </c>
      <c r="H72">
        <f>(D72/G72)^2</f>
        <v>9.9999999999999995E-7</v>
      </c>
      <c r="J72">
        <v>0.1</v>
      </c>
      <c r="L72">
        <f t="shared" ref="L72:L100" si="12">SQRT((J72^2)+(H72^2))</f>
        <v>0.10000000000500001</v>
      </c>
    </row>
    <row r="73" spans="1:12" x14ac:dyDescent="0.35">
      <c r="A73" s="32"/>
      <c r="B73">
        <v>0.5</v>
      </c>
      <c r="C73">
        <v>100</v>
      </c>
      <c r="D73">
        <v>0.1</v>
      </c>
      <c r="E73">
        <v>0.5</v>
      </c>
      <c r="F73">
        <v>0.1</v>
      </c>
      <c r="G73">
        <f>C73+E73</f>
        <v>100.5</v>
      </c>
      <c r="H73">
        <f t="shared" ref="H73:H76" si="13">(D73/G73)^2</f>
        <v>9.9007450310635896E-7</v>
      </c>
      <c r="J73">
        <v>0.1</v>
      </c>
      <c r="L73">
        <f t="shared" si="12"/>
        <v>0.10000000000490125</v>
      </c>
    </row>
    <row r="74" spans="1:12" x14ac:dyDescent="0.35">
      <c r="A74" s="32"/>
      <c r="B74">
        <v>1</v>
      </c>
      <c r="C74">
        <v>100</v>
      </c>
      <c r="D74">
        <v>0.1</v>
      </c>
      <c r="E74">
        <v>1</v>
      </c>
      <c r="F74">
        <v>0.1</v>
      </c>
      <c r="G74">
        <f>C74+E74</f>
        <v>101</v>
      </c>
      <c r="H74">
        <f t="shared" si="13"/>
        <v>9.802960494069209E-7</v>
      </c>
      <c r="J74">
        <v>0.1</v>
      </c>
      <c r="L74">
        <f t="shared" si="12"/>
        <v>0.10000000000480491</v>
      </c>
    </row>
    <row r="75" spans="1:12" x14ac:dyDescent="0.35">
      <c r="A75" s="32"/>
      <c r="B75">
        <v>2.5</v>
      </c>
      <c r="C75">
        <v>100</v>
      </c>
      <c r="D75">
        <v>0.1</v>
      </c>
      <c r="E75">
        <v>2.5</v>
      </c>
      <c r="F75">
        <v>0.1</v>
      </c>
      <c r="G75">
        <f>C75+E75</f>
        <v>102.5</v>
      </c>
      <c r="H75">
        <f t="shared" si="13"/>
        <v>9.5181439619274262E-7</v>
      </c>
      <c r="J75">
        <v>0.1</v>
      </c>
      <c r="L75">
        <f t="shared" si="12"/>
        <v>0.10000000000452976</v>
      </c>
    </row>
    <row r="76" spans="1:12" x14ac:dyDescent="0.35">
      <c r="A76" s="32"/>
      <c r="B76">
        <v>5</v>
      </c>
      <c r="C76">
        <v>100</v>
      </c>
      <c r="D76">
        <v>0.1</v>
      </c>
      <c r="E76">
        <v>5</v>
      </c>
      <c r="F76">
        <v>0.1</v>
      </c>
      <c r="G76">
        <f>C76+E76</f>
        <v>105</v>
      </c>
      <c r="H76">
        <f t="shared" si="13"/>
        <v>9.0702947845804985E-7</v>
      </c>
      <c r="J76">
        <v>0.1</v>
      </c>
      <c r="L76">
        <f t="shared" si="12"/>
        <v>0.10000000000411352</v>
      </c>
    </row>
    <row r="78" spans="1:12" x14ac:dyDescent="0.35">
      <c r="A78" s="32" t="s">
        <v>15</v>
      </c>
      <c r="B78">
        <v>0</v>
      </c>
      <c r="C78">
        <v>100</v>
      </c>
      <c r="D78">
        <v>0.1</v>
      </c>
      <c r="E78">
        <v>0</v>
      </c>
      <c r="F78">
        <v>0</v>
      </c>
      <c r="G78">
        <f>C78+E78</f>
        <v>100</v>
      </c>
      <c r="H78">
        <f>(D78/G78)^2</f>
        <v>9.9999999999999995E-7</v>
      </c>
      <c r="J78">
        <v>0.1</v>
      </c>
      <c r="L78">
        <f t="shared" si="12"/>
        <v>0.10000000000500001</v>
      </c>
    </row>
    <row r="79" spans="1:12" x14ac:dyDescent="0.35">
      <c r="A79" s="32"/>
      <c r="B79">
        <v>0.5</v>
      </c>
      <c r="C79">
        <v>100</v>
      </c>
      <c r="D79">
        <v>0.1</v>
      </c>
      <c r="E79">
        <v>0.5</v>
      </c>
      <c r="F79">
        <v>0.1</v>
      </c>
      <c r="G79">
        <f>C79+E79</f>
        <v>100.5</v>
      </c>
      <c r="H79">
        <f t="shared" ref="H79:H82" si="14">(D79/G79)^2</f>
        <v>9.9007450310635896E-7</v>
      </c>
      <c r="J79">
        <v>0.1</v>
      </c>
      <c r="L79">
        <f t="shared" si="12"/>
        <v>0.10000000000490125</v>
      </c>
    </row>
    <row r="80" spans="1:12" x14ac:dyDescent="0.35">
      <c r="A80" s="32"/>
      <c r="B80">
        <v>1</v>
      </c>
      <c r="C80">
        <v>100</v>
      </c>
      <c r="D80">
        <v>0.1</v>
      </c>
      <c r="E80">
        <v>1</v>
      </c>
      <c r="F80">
        <v>0.1</v>
      </c>
      <c r="G80">
        <f>C80+E80</f>
        <v>101</v>
      </c>
      <c r="H80">
        <f t="shared" si="14"/>
        <v>9.802960494069209E-7</v>
      </c>
      <c r="J80">
        <v>0.1</v>
      </c>
      <c r="L80">
        <f t="shared" si="12"/>
        <v>0.10000000000480491</v>
      </c>
    </row>
    <row r="81" spans="1:12" x14ac:dyDescent="0.35">
      <c r="A81" s="32"/>
      <c r="B81">
        <v>2.5</v>
      </c>
      <c r="C81">
        <v>100</v>
      </c>
      <c r="D81">
        <v>0.1</v>
      </c>
      <c r="E81">
        <v>2.5</v>
      </c>
      <c r="F81">
        <v>0.1</v>
      </c>
      <c r="G81">
        <f>C81+E81</f>
        <v>102.5</v>
      </c>
      <c r="H81">
        <f t="shared" si="14"/>
        <v>9.5181439619274262E-7</v>
      </c>
      <c r="J81">
        <v>0.1</v>
      </c>
      <c r="L81">
        <f t="shared" si="12"/>
        <v>0.10000000000452976</v>
      </c>
    </row>
    <row r="82" spans="1:12" x14ac:dyDescent="0.35">
      <c r="A82" s="32"/>
      <c r="B82">
        <v>5</v>
      </c>
      <c r="C82">
        <v>100</v>
      </c>
      <c r="D82">
        <v>0.1</v>
      </c>
      <c r="E82">
        <v>5</v>
      </c>
      <c r="F82">
        <v>0.1</v>
      </c>
      <c r="G82">
        <f>C82+E82</f>
        <v>105</v>
      </c>
      <c r="H82">
        <f t="shared" si="14"/>
        <v>9.0702947845804985E-7</v>
      </c>
      <c r="J82">
        <v>0.1</v>
      </c>
      <c r="L82">
        <f t="shared" si="12"/>
        <v>0.10000000000411352</v>
      </c>
    </row>
    <row r="84" spans="1:12" x14ac:dyDescent="0.35">
      <c r="A84" s="32" t="s">
        <v>329</v>
      </c>
      <c r="B84">
        <v>0</v>
      </c>
      <c r="C84">
        <v>100</v>
      </c>
      <c r="D84">
        <v>0.1</v>
      </c>
      <c r="E84">
        <v>0</v>
      </c>
      <c r="F84">
        <v>0</v>
      </c>
      <c r="G84">
        <f>C84+E84</f>
        <v>100</v>
      </c>
      <c r="H84">
        <f>(D84/G84)^2</f>
        <v>9.9999999999999995E-7</v>
      </c>
      <c r="J84">
        <v>0.1</v>
      </c>
      <c r="L84">
        <f t="shared" si="12"/>
        <v>0.10000000000500001</v>
      </c>
    </row>
    <row r="85" spans="1:12" x14ac:dyDescent="0.35">
      <c r="A85" s="32"/>
      <c r="B85">
        <v>0.5</v>
      </c>
      <c r="C85">
        <v>100</v>
      </c>
      <c r="D85">
        <v>0.1</v>
      </c>
      <c r="E85">
        <v>0.5</v>
      </c>
      <c r="F85">
        <v>0.1</v>
      </c>
      <c r="G85">
        <f>C85+E85</f>
        <v>100.5</v>
      </c>
      <c r="H85">
        <f t="shared" ref="H85:H88" si="15">(D85/G85)^2</f>
        <v>9.9007450310635896E-7</v>
      </c>
      <c r="J85">
        <v>0.1</v>
      </c>
      <c r="L85">
        <f t="shared" si="12"/>
        <v>0.10000000000490125</v>
      </c>
    </row>
    <row r="86" spans="1:12" x14ac:dyDescent="0.35">
      <c r="A86" s="32"/>
      <c r="B86">
        <v>1</v>
      </c>
      <c r="C86">
        <v>100</v>
      </c>
      <c r="D86">
        <v>0.1</v>
      </c>
      <c r="E86">
        <v>1</v>
      </c>
      <c r="F86">
        <v>0.1</v>
      </c>
      <c r="G86">
        <f>C86+E86</f>
        <v>101</v>
      </c>
      <c r="H86">
        <f t="shared" si="15"/>
        <v>9.802960494069209E-7</v>
      </c>
      <c r="J86">
        <v>0.1</v>
      </c>
      <c r="L86">
        <f t="shared" si="12"/>
        <v>0.10000000000480491</v>
      </c>
    </row>
    <row r="87" spans="1:12" x14ac:dyDescent="0.35">
      <c r="A87" s="32"/>
      <c r="B87">
        <v>2.5</v>
      </c>
      <c r="C87">
        <v>100</v>
      </c>
      <c r="D87">
        <v>0.1</v>
      </c>
      <c r="E87">
        <v>2.5</v>
      </c>
      <c r="F87">
        <v>0.1</v>
      </c>
      <c r="G87">
        <f>C87+E87</f>
        <v>102.5</v>
      </c>
      <c r="H87">
        <f t="shared" si="15"/>
        <v>9.5181439619274262E-7</v>
      </c>
      <c r="J87">
        <v>0.1</v>
      </c>
      <c r="L87">
        <f t="shared" si="12"/>
        <v>0.10000000000452976</v>
      </c>
    </row>
    <row r="88" spans="1:12" x14ac:dyDescent="0.35">
      <c r="A88" s="32"/>
      <c r="B88">
        <v>5</v>
      </c>
      <c r="C88">
        <v>100</v>
      </c>
      <c r="D88">
        <v>0.1</v>
      </c>
      <c r="E88">
        <v>5</v>
      </c>
      <c r="F88">
        <v>0.1</v>
      </c>
      <c r="G88">
        <f>C88+E88</f>
        <v>105</v>
      </c>
      <c r="H88">
        <f t="shared" si="15"/>
        <v>9.0702947845804985E-7</v>
      </c>
      <c r="J88">
        <v>0.1</v>
      </c>
      <c r="L88">
        <f t="shared" si="12"/>
        <v>0.10000000000411352</v>
      </c>
    </row>
    <row r="90" spans="1:12" x14ac:dyDescent="0.35">
      <c r="A90" s="32" t="s">
        <v>330</v>
      </c>
      <c r="B90">
        <v>0</v>
      </c>
      <c r="C90">
        <v>100</v>
      </c>
      <c r="D90">
        <v>0.1</v>
      </c>
      <c r="E90">
        <v>0</v>
      </c>
      <c r="F90">
        <v>0</v>
      </c>
      <c r="G90">
        <f>C90+E90</f>
        <v>100</v>
      </c>
      <c r="H90">
        <f>(D90/G90)^2</f>
        <v>9.9999999999999995E-7</v>
      </c>
      <c r="J90">
        <v>0.1</v>
      </c>
      <c r="L90">
        <f t="shared" si="12"/>
        <v>0.10000000000500001</v>
      </c>
    </row>
    <row r="91" spans="1:12" x14ac:dyDescent="0.35">
      <c r="A91" s="32"/>
      <c r="B91">
        <v>0.5</v>
      </c>
      <c r="C91">
        <v>100</v>
      </c>
      <c r="D91">
        <v>0.1</v>
      </c>
      <c r="E91">
        <v>0.5</v>
      </c>
      <c r="F91">
        <v>0.1</v>
      </c>
      <c r="G91">
        <f>C91+E91</f>
        <v>100.5</v>
      </c>
      <c r="H91">
        <f t="shared" ref="H91:H94" si="16">(D91/G91)^2</f>
        <v>9.9007450310635896E-7</v>
      </c>
      <c r="J91">
        <v>0.1</v>
      </c>
      <c r="L91">
        <f t="shared" si="12"/>
        <v>0.10000000000490125</v>
      </c>
    </row>
    <row r="92" spans="1:12" x14ac:dyDescent="0.35">
      <c r="A92" s="32"/>
      <c r="B92">
        <v>1</v>
      </c>
      <c r="C92">
        <v>100</v>
      </c>
      <c r="D92">
        <v>0.1</v>
      </c>
      <c r="E92">
        <v>1</v>
      </c>
      <c r="F92">
        <v>0.1</v>
      </c>
      <c r="G92">
        <f>C92+E92</f>
        <v>101</v>
      </c>
      <c r="H92">
        <f t="shared" si="16"/>
        <v>9.802960494069209E-7</v>
      </c>
      <c r="J92">
        <v>0.1</v>
      </c>
      <c r="L92">
        <f t="shared" si="12"/>
        <v>0.10000000000480491</v>
      </c>
    </row>
    <row r="93" spans="1:12" x14ac:dyDescent="0.35">
      <c r="A93" s="32"/>
      <c r="B93">
        <v>2.5</v>
      </c>
      <c r="C93">
        <v>100</v>
      </c>
      <c r="D93">
        <v>0.1</v>
      </c>
      <c r="E93">
        <v>2.5</v>
      </c>
      <c r="F93">
        <v>0.1</v>
      </c>
      <c r="G93">
        <f>C93+E93</f>
        <v>102.5</v>
      </c>
      <c r="H93">
        <f t="shared" si="16"/>
        <v>9.5181439619274262E-7</v>
      </c>
      <c r="J93">
        <v>0.1</v>
      </c>
      <c r="L93">
        <f t="shared" si="12"/>
        <v>0.10000000000452976</v>
      </c>
    </row>
    <row r="94" spans="1:12" x14ac:dyDescent="0.35">
      <c r="A94" s="32"/>
      <c r="B94">
        <v>5</v>
      </c>
      <c r="C94">
        <v>100</v>
      </c>
      <c r="D94">
        <v>0.1</v>
      </c>
      <c r="E94">
        <v>5</v>
      </c>
      <c r="F94">
        <v>0.1</v>
      </c>
      <c r="G94">
        <f>C94+E94</f>
        <v>105</v>
      </c>
      <c r="H94">
        <f t="shared" si="16"/>
        <v>9.0702947845804985E-7</v>
      </c>
      <c r="J94">
        <v>0.1</v>
      </c>
      <c r="L94">
        <f t="shared" si="12"/>
        <v>0.10000000000411352</v>
      </c>
    </row>
    <row r="96" spans="1:12" x14ac:dyDescent="0.35">
      <c r="A96" s="32" t="s">
        <v>16</v>
      </c>
      <c r="B96">
        <v>0</v>
      </c>
      <c r="C96">
        <v>100</v>
      </c>
      <c r="D96">
        <v>0.1</v>
      </c>
      <c r="E96">
        <v>0</v>
      </c>
      <c r="F96">
        <v>0</v>
      </c>
      <c r="G96">
        <f>C96+E96</f>
        <v>100</v>
      </c>
      <c r="H96">
        <f>(D96/G96)^2</f>
        <v>9.9999999999999995E-7</v>
      </c>
      <c r="J96">
        <v>0.1</v>
      </c>
      <c r="L96">
        <f t="shared" si="12"/>
        <v>0.10000000000500001</v>
      </c>
    </row>
    <row r="97" spans="1:12" x14ac:dyDescent="0.35">
      <c r="A97" s="32"/>
      <c r="B97">
        <v>0.5</v>
      </c>
      <c r="C97">
        <v>100</v>
      </c>
      <c r="D97">
        <v>0.1</v>
      </c>
      <c r="E97">
        <v>0.5</v>
      </c>
      <c r="F97">
        <v>0.1</v>
      </c>
      <c r="G97">
        <f>C97+E97</f>
        <v>100.5</v>
      </c>
      <c r="H97">
        <f t="shared" ref="H97:H100" si="17">(D97/G97)^2</f>
        <v>9.9007450310635896E-7</v>
      </c>
      <c r="J97">
        <v>0.1</v>
      </c>
      <c r="L97">
        <f t="shared" si="12"/>
        <v>0.10000000000490125</v>
      </c>
    </row>
    <row r="98" spans="1:12" x14ac:dyDescent="0.35">
      <c r="A98" s="32"/>
      <c r="B98">
        <v>1</v>
      </c>
      <c r="C98">
        <v>100</v>
      </c>
      <c r="D98">
        <v>0.1</v>
      </c>
      <c r="E98">
        <v>1</v>
      </c>
      <c r="F98">
        <v>0.1</v>
      </c>
      <c r="G98">
        <f>C98+E98</f>
        <v>101</v>
      </c>
      <c r="H98">
        <f t="shared" si="17"/>
        <v>9.802960494069209E-7</v>
      </c>
      <c r="J98">
        <v>0.1</v>
      </c>
      <c r="L98">
        <f t="shared" si="12"/>
        <v>0.10000000000480491</v>
      </c>
    </row>
    <row r="99" spans="1:12" x14ac:dyDescent="0.35">
      <c r="A99" s="32"/>
      <c r="B99">
        <v>2.5</v>
      </c>
      <c r="C99">
        <v>100</v>
      </c>
      <c r="D99">
        <v>0.1</v>
      </c>
      <c r="E99">
        <v>2.5</v>
      </c>
      <c r="F99">
        <v>0.1</v>
      </c>
      <c r="G99">
        <f>C99+E99</f>
        <v>102.5</v>
      </c>
      <c r="H99">
        <f t="shared" si="17"/>
        <v>9.5181439619274262E-7</v>
      </c>
      <c r="J99">
        <v>0.1</v>
      </c>
      <c r="L99">
        <f t="shared" si="12"/>
        <v>0.10000000000452976</v>
      </c>
    </row>
    <row r="100" spans="1:12" x14ac:dyDescent="0.35">
      <c r="A100" s="32"/>
      <c r="B100">
        <v>5</v>
      </c>
      <c r="C100">
        <v>100</v>
      </c>
      <c r="D100">
        <v>0.1</v>
      </c>
      <c r="E100">
        <v>5</v>
      </c>
      <c r="F100">
        <v>0.1</v>
      </c>
      <c r="G100">
        <f>C100+E100</f>
        <v>105</v>
      </c>
      <c r="H100">
        <f t="shared" si="17"/>
        <v>9.0702947845804985E-7</v>
      </c>
      <c r="J100">
        <v>0.1</v>
      </c>
      <c r="L100">
        <f t="shared" si="12"/>
        <v>0.10000000000411352</v>
      </c>
    </row>
  </sheetData>
  <mergeCells count="16">
    <mergeCell ref="A36:A40"/>
    <mergeCell ref="A6:A10"/>
    <mergeCell ref="A12:A16"/>
    <mergeCell ref="A18:A22"/>
    <mergeCell ref="A24:A28"/>
    <mergeCell ref="A30:A34"/>
    <mergeCell ref="A78:A82"/>
    <mergeCell ref="A84:A88"/>
    <mergeCell ref="A90:A94"/>
    <mergeCell ref="A96:A100"/>
    <mergeCell ref="A42:A46"/>
    <mergeCell ref="A48:A52"/>
    <mergeCell ref="A54:A58"/>
    <mergeCell ref="A60:A64"/>
    <mergeCell ref="A66:A70"/>
    <mergeCell ref="A72:A76"/>
  </mergeCells>
  <pageMargins left="0.7" right="0.7" top="0.75" bottom="0.75" header="0.3" footer="0.3"/>
</worksheet>
</file>

<file path=docMetadata/LabelInfo.xml><?xml version="1.0" encoding="utf-8"?>
<clbl:labelList xmlns:clbl="http://schemas.microsoft.com/office/2020/mipLabelMetadata">
  <clbl:label id="{490a8197-7b83-4f10-89b9-83189be3835e}" enabled="0" method="" siteId="{490a8197-7b83-4f10-89b9-83189be3835e}"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Geomechanical Experiments</vt:lpstr>
      <vt:lpstr>Uncertainty PSD</vt:lpstr>
      <vt:lpstr>Uncertainty AoR</vt:lpstr>
      <vt:lpstr>Uncertainty - Water addition</vt:lpstr>
      <vt:lpstr>Uncertainty BTD</vt:lpstr>
      <vt:lpstr>Uncertainty - Fluidisation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NEMI WALDING</dc:creator>
  <cp:lastModifiedBy>Nemi Walding</cp:lastModifiedBy>
  <dcterms:created xsi:type="dcterms:W3CDTF">2024-04-09T09:08:38Z</dcterms:created>
  <dcterms:modified xsi:type="dcterms:W3CDTF">2025-03-27T11:08:29Z</dcterms:modified>
</cp:coreProperties>
</file>